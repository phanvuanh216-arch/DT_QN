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HĐ con lợn,gà 2025\"/>
    </mc:Choice>
  </mc:AlternateContent>
  <bookViews>
    <workbookView xWindow="-120" yWindow="-120" windowWidth="29040" windowHeight="15720" activeTab="5"/>
  </bookViews>
  <sheets>
    <sheet name="Cây lúa" sheetId="1" r:id="rId1"/>
    <sheet name="Bắp cải" sheetId="2" r:id="rId2"/>
    <sheet name="Súp lơ" sheetId="4" r:id="rId3"/>
    <sheet name="Dưa chuột" sheetId="3" r:id="rId4"/>
    <sheet name="Bí xanh" sheetId="5" r:id="rId5"/>
    <sheet name="Lợn" sheetId="6" r:id="rId6"/>
    <sheet name="Gà" sheetId="7" r:id="rId7"/>
    <sheet name="vụ lúa" sheetId="8" r:id="rId8"/>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18" i="5" l="1"/>
  <c r="J18" i="5"/>
  <c r="K18" i="5"/>
  <c r="L18" i="5"/>
  <c r="F12" i="5" s="1"/>
  <c r="M18" i="5"/>
  <c r="N18" i="5"/>
  <c r="O18" i="5"/>
  <c r="P18" i="5"/>
  <c r="Q18" i="5"/>
  <c r="R18" i="5"/>
  <c r="S18" i="5"/>
  <c r="T18" i="5"/>
  <c r="F16" i="5" l="1"/>
  <c r="T17" i="3"/>
  <c r="S17" i="3"/>
  <c r="R17" i="3"/>
  <c r="Q17" i="3"/>
  <c r="F19" i="3" s="1"/>
  <c r="P17" i="3"/>
  <c r="F17" i="3" s="1"/>
  <c r="O17" i="3"/>
  <c r="N17" i="3"/>
  <c r="F15" i="3" s="1"/>
  <c r="M17" i="3"/>
  <c r="F14" i="3" s="1"/>
  <c r="L17" i="3"/>
  <c r="F12" i="3" s="1"/>
  <c r="K17" i="3"/>
  <c r="J17" i="3"/>
  <c r="I17" i="3"/>
  <c r="T17" i="4"/>
  <c r="S17" i="4"/>
  <c r="F20" i="4" s="1"/>
  <c r="R17" i="4"/>
  <c r="F17" i="4" s="1"/>
  <c r="Q17" i="4"/>
  <c r="P17" i="4"/>
  <c r="F13" i="4" s="1"/>
  <c r="O17" i="4"/>
  <c r="F12" i="4" s="1"/>
  <c r="N17" i="4"/>
  <c r="M17" i="4"/>
  <c r="L17" i="4"/>
  <c r="K17" i="4"/>
  <c r="J17" i="4"/>
  <c r="I17" i="4"/>
  <c r="K25" i="2"/>
  <c r="L25" i="2"/>
  <c r="M25" i="2"/>
  <c r="N25" i="2"/>
  <c r="O25" i="2"/>
  <c r="P25" i="2"/>
  <c r="Q25" i="2"/>
  <c r="F17" i="2" s="1"/>
  <c r="R25" i="2"/>
  <c r="F18" i="2" s="1"/>
  <c r="S25" i="2"/>
  <c r="T25" i="2"/>
  <c r="U25" i="2"/>
  <c r="J25" i="2"/>
  <c r="K17" i="1"/>
  <c r="L17" i="1"/>
  <c r="M17" i="1"/>
  <c r="N17" i="1"/>
  <c r="N19" i="1" s="1"/>
  <c r="O17" i="1"/>
  <c r="O19" i="1" s="1"/>
  <c r="P17" i="1"/>
  <c r="Q17" i="1"/>
  <c r="Q19" i="1" s="1"/>
  <c r="R17" i="1"/>
  <c r="S17" i="1"/>
  <c r="T17" i="1"/>
  <c r="U17" i="1"/>
  <c r="U19" i="1" s="1"/>
  <c r="K18" i="1"/>
  <c r="L18" i="1"/>
  <c r="M18" i="1"/>
  <c r="N18" i="1"/>
  <c r="O18" i="1"/>
  <c r="P18" i="1"/>
  <c r="Q18" i="1"/>
  <c r="R18" i="1"/>
  <c r="S18" i="1"/>
  <c r="T18" i="1"/>
  <c r="U18" i="1"/>
  <c r="J18" i="1"/>
  <c r="J17" i="1"/>
  <c r="F21" i="2" l="1"/>
  <c r="F20" i="3"/>
  <c r="T19" i="1"/>
  <c r="S19" i="1"/>
  <c r="R19" i="1"/>
  <c r="P19" i="1"/>
  <c r="M19" i="1"/>
  <c r="L19" i="1"/>
  <c r="K19" i="1"/>
  <c r="F15" i="5"/>
  <c r="F11" i="3"/>
  <c r="F18" i="3"/>
  <c r="F13" i="3"/>
  <c r="F16" i="3"/>
  <c r="F11" i="4"/>
  <c r="F14" i="4"/>
  <c r="F16" i="4"/>
  <c r="F19" i="2"/>
  <c r="F20" i="2"/>
  <c r="J19" i="1"/>
  <c r="F14" i="5"/>
  <c r="F13" i="5"/>
</calcChain>
</file>

<file path=xl/sharedStrings.xml><?xml version="1.0" encoding="utf-8"?>
<sst xmlns="http://schemas.openxmlformats.org/spreadsheetml/2006/main" count="1540" uniqueCount="795">
  <si>
    <t>Giai đoạn</t>
  </si>
  <si>
    <t>Nảy mầm</t>
  </si>
  <si>
    <t>Đẻ nhánh</t>
  </si>
  <si>
    <t>Điều kiện ẩm</t>
  </si>
  <si>
    <t>Thời kỳ sinh trưởng trung bình</t>
  </si>
  <si>
    <t>Thời kỳ nhạy cảm với điều kiện ẩm</t>
  </si>
  <si>
    <t>Nhiệt độ tối thiểu (°C)</t>
  </si>
  <si>
    <t>Khoảng bất lợi (°C)</t>
  </si>
  <si>
    <t>Gieo – nảy mầm</t>
  </si>
  <si>
    <t>Mạ</t>
  </si>
  <si>
    <t>Làm đòng – phân hóa hoa</t>
  </si>
  <si>
    <t>Trỗ – thụ phấn</t>
  </si>
  <si>
    <t>Chắc hạt – chín</t>
  </si>
  <si>
    <t>Nhiệt độ tối ưu (°C)</t>
  </si>
  <si>
    <t>Ghi chú sinh lý</t>
  </si>
  <si>
    <t>Sinh trưởng chung</t>
  </si>
  <si>
    <t>Giai đoạn / Điều kiện</t>
  </si>
  <si>
    <t>Hạt có thể nảy mầm ở nhiệt độ thấp nhưng tốc độ chậm.</t>
  </si>
  <si>
    <t>Cây con</t>
  </si>
  <si>
    <t>16 - 18°C</t>
  </si>
  <si>
    <t>Giai đoạn phát triển ban đầu của cây.</t>
  </si>
  <si>
    <t>Cây có 1 - 2 lá thật</t>
  </si>
  <si>
    <t>-2°C đến -3°C</t>
  </si>
  <si>
    <t>Khả năng chịu rét tốt nhất ở giai đoạn này.</t>
  </si>
  <si>
    <t>Trải lá</t>
  </si>
  <si>
    <t>18 - 20°C</t>
  </si>
  <si>
    <t>Giai đoạn phát triển bộ lá mạnh mẽ.</t>
  </si>
  <si>
    <t>Cuốn bắp</t>
  </si>
  <si>
    <t>17 - 18°C</t>
  </si>
  <si>
    <t>&gt; 25°C</t>
  </si>
  <si>
    <t>Dưới 10°C cây không cuốn bắp; trên 25°C cuốn chậm, bắp nhỏ, năng suất giảm.</t>
  </si>
  <si>
    <t>&gt; 28°C</t>
  </si>
  <si>
    <t>Trên 28°C kèm ẩm thấp gây rối loạn trao đổi chất, ảnh hưởng chất lượng bắp.</t>
  </si>
  <si>
    <t>Ra hoa</t>
  </si>
  <si>
    <t>Ảnh hưởng xấu đến nhị, nhụy, hạt phấn; gây rụng nụ, rụng hoa.</t>
  </si>
  <si>
    <t>Cần nhiệt độ thấp để ra hoa (giống Hà Nội cần &lt; 15°C trong 20-25 ngày).</t>
  </si>
  <si>
    <t>Ngưỡng sinh tồn cực hạn</t>
  </si>
  <si>
    <t>&gt; 35°C</t>
  </si>
  <si>
    <t>Gây rối loạn trao đổi chất, biến đổi chất nguyên sinh, protein bị tan vỡ, cây già cỗi nhanh.</t>
  </si>
  <si>
    <t>.</t>
  </si>
  <si>
    <t>~5°C</t>
  </si>
  <si>
    <t>&gt; 35</t>
  </si>
  <si>
    <t>5 - 10°C</t>
  </si>
  <si>
    <t>&gt; 25</t>
  </si>
  <si>
    <t>15 - 18°C</t>
  </si>
  <si>
    <t>&lt; 10</t>
  </si>
  <si>
    <t>15 - 20 oC</t>
  </si>
  <si>
    <t>&gt; 20</t>
  </si>
  <si>
    <t>Xuân hóa</t>
  </si>
  <si>
    <t>15 - 20°C</t>
  </si>
  <si>
    <t>Nguồn: Giáo trình kỹ thuật trồng rau, 20025 Nhà Xuất Bản Hà Nội</t>
  </si>
  <si>
    <t>1 - 5 °C</t>
  </si>
  <si>
    <t>5 - 12°C</t>
  </si>
  <si>
    <t xml:space="preserve">Nhu cầu nước </t>
  </si>
  <si>
    <t>15-35mm/ tuần (7 ngày)</t>
  </si>
  <si>
    <t>Nhận xét</t>
  </si>
  <si>
    <t>65 - 110 ngày</t>
  </si>
  <si>
    <t>Trong thời gian hình thành bắp và bắp lớn</t>
  </si>
  <si>
    <t>Cần có độ ẩm đất khá cao trong suốt thời kỳ sinh trưởng và tiêu thoát nước phù hợp ở vùng rễ</t>
  </si>
  <si>
    <t>Điều kiện nhiệt</t>
  </si>
  <si>
    <t>Climatic Compendium for ASEAN countries, Singapore 1981</t>
  </si>
  <si>
    <t>Giai đoạn / Trạng thái</t>
  </si>
  <si>
    <t>15 - 20</t>
  </si>
  <si>
    <t>-</t>
  </si>
  <si>
    <t>Ưa khí hậu mát lạnh; chịu rét và nóng kém hơn su hào, cải bắp.</t>
  </si>
  <si>
    <t>15 - 18</t>
  </si>
  <si>
    <t>Giai đoạn cần thiết để chuyển sang phát triển hoa.</t>
  </si>
  <si>
    <t>Phân hóa mầm hoa</t>
  </si>
  <si>
    <t>16 - 17</t>
  </si>
  <si>
    <t>Thời kỳ bắt đầu hình thành các mầm hoa.</t>
  </si>
  <si>
    <t>Hình thành nụ hoa</t>
  </si>
  <si>
    <t>25 - 30</t>
  </si>
  <si>
    <t>Ở nhiệt độ 25 - 30°C nụ hoa khó hình thành.</t>
  </si>
  <si>
    <t>Phát triển nụ hoa</t>
  </si>
  <si>
    <t>Dưới 10°C nụ hoa chuyển từ trắng ngà sang tím. Từ 3 - 6°C nụ hoa phát triển chậm.</t>
  </si>
  <si>
    <t>12 - 15</t>
  </si>
  <si>
    <t>10</t>
  </si>
  <si>
    <t>12</t>
  </si>
  <si>
    <t>8</t>
  </si>
  <si>
    <t>&gt; 22</t>
  </si>
  <si>
    <t>ĐIỀU KIỆN NHIỆT</t>
  </si>
  <si>
    <t>15 - 35 mm/tuần</t>
  </si>
  <si>
    <t>60 ngày</t>
  </si>
  <si>
    <t>Giai đoạn cây ngon ban đầu hoặc ngay sau khi trồng; trong thời kỳ tăng trưởng của hoa</t>
  </si>
  <si>
    <t>Cần cung cấp nhiều nước trong suốt thời kỳ phát triển của cây để đạt sự tăng trưởng và năng suất tối đa</t>
  </si>
  <si>
    <t>&gt; 40,5</t>
  </si>
  <si>
    <t>Cần đất ấm để nảy mầm nhanh và đồng đều.</t>
  </si>
  <si>
    <t>Sinh trưởng</t>
  </si>
  <si>
    <t>20 - 30</t>
  </si>
  <si>
    <t>&lt; 15 hoặc &gt; 40</t>
  </si>
  <si>
    <t>Dưới 15°C cây bị rối loạn sinh lý, lá vàng.</t>
  </si>
  <si>
    <t>20 - 22</t>
  </si>
  <si>
    <t>&gt; 30</t>
  </si>
  <si>
    <t>Đa số các giống dưa chuột qua giai đoạn xuân hóa ở mức này.</t>
  </si>
  <si>
    <t>Giới hạn chịu đựng</t>
  </si>
  <si>
    <t>25 - 28</t>
  </si>
  <si>
    <t>&lt; 0</t>
  </si>
  <si>
    <t>Dưới 0°C cây chết ngay; ở 5°C cây có thể ngừng sống hoàn toàn.</t>
  </si>
  <si>
    <t>Nhiệt độ cao</t>
  </si>
  <si>
    <t>&gt;= 40</t>
  </si>
  <si>
    <t>Hoa cái không xuất hiện, chỉ ra hoa đực hoặc rụng nụ.</t>
  </si>
  <si>
    <t>&gt;15,5 - 35</t>
  </si>
  <si>
    <t>300 mm/vụ</t>
  </si>
  <si>
    <t>100-110 ngày (lấy hạt);  80-90 ngày (lấy quả); 45-50 ngày (lấy quả)</t>
  </si>
  <si>
    <t>Hình thành hoa, ra hoa, đặc biệt là khi hoa nở rộ</t>
  </si>
  <si>
    <t>Khi nở hoa và khi hoa đã hình thành gặp hạn sẽ gây nên sự biến dạng của hoa, hạt phấn bị chết và tổn thương đến nhuỵ hoa.</t>
  </si>
  <si>
    <t>13 - 15</t>
  </si>
  <si>
    <t>Dưới 13°C hạt nảy mầm chậm, dưới 10°C dễ bị thối hạt.</t>
  </si>
  <si>
    <t>17 - 22</t>
  </si>
  <si>
    <t>&lt; 15</t>
  </si>
  <si>
    <t>Cần mát mẻ để bộ rễ phát triển sâu; &lt; 15°C cây ngừng lớn.</t>
  </si>
  <si>
    <t>Sinh trưởng thân lá</t>
  </si>
  <si>
    <t>Tốc độ sinh trưởng nhanh nhất ở 25-30°C.</t>
  </si>
  <si>
    <t>Phát triển hoa, quả</t>
  </si>
  <si>
    <t>24 - 28</t>
  </si>
  <si>
    <t>&gt; 35°C kèm độ ẩm thấp dễ gây rụng nụ và hoa cái.</t>
  </si>
  <si>
    <t>Chịu nhiệt cao</t>
  </si>
  <si>
    <t>&gt; 42</t>
  </si>
  <si>
    <t>Cây vẫn chịu được 35-40°C nếu đủ nước, trên 42°C lá bị cháy.</t>
  </si>
  <si>
    <t>Chịu lạnh</t>
  </si>
  <si>
    <t>&lt; 5</t>
  </si>
  <si>
    <t>Dưới 5°C cây bị tổn thương tế bào, dễ chết do rét.</t>
  </si>
  <si>
    <t>Nguồn: Giáo trình cây rau, 2010 NXB Nông nghiệp</t>
  </si>
  <si>
    <t>35-40</t>
  </si>
  <si>
    <t>Thời kỳ ra hoa kết quả, đất quá ẩm gây nên hiện tượng rung hoa rụng quả</t>
  </si>
  <si>
    <t>110-150 ngày</t>
  </si>
  <si>
    <t>Chịu hạn khá nhưng không chịu được úng. Nó sinh trưởng tốt ở vùng đất thấp khô trung bình nhưng với lượng mưa không cao</t>
  </si>
  <si>
    <t>400mm/vụ</t>
  </si>
  <si>
    <t>Nhóm lợn</t>
  </si>
  <si>
    <t>Ngưỡng chấp nhận (°C)</t>
  </si>
  <si>
    <t>Heo con sơ sinh</t>
  </si>
  <si>
    <t>30–32</t>
  </si>
  <si>
    <t>28–34</t>
  </si>
  <si>
    <t>60–70</t>
  </si>
  <si>
    <t>Heo con theo mẹ (tuần 1–2)</t>
  </si>
  <si>
    <t>27–30</t>
  </si>
  <si>
    <t>25–32</t>
  </si>
  <si>
    <t>Heo con sau cai sữa (7–25 kg)</t>
  </si>
  <si>
    <t>24–28</t>
  </si>
  <si>
    <t>22–30</t>
  </si>
  <si>
    <t>Heo thịt (25–60 kg)</t>
  </si>
  <si>
    <t>18–22</t>
  </si>
  <si>
    <t>16–26</t>
  </si>
  <si>
    <t>Heo thịt (60–110 kg)</t>
  </si>
  <si>
    <t>16–20</t>
  </si>
  <si>
    <t>14–24</t>
  </si>
  <si>
    <t>50–70</t>
  </si>
  <si>
    <t>Heo nái chửa</t>
  </si>
  <si>
    <t>16–22</t>
  </si>
  <si>
    <t>Heo nái nuôi con</t>
  </si>
  <si>
    <t>16–24</t>
  </si>
  <si>
    <t>Độ ẩm (%)</t>
  </si>
  <si>
    <t>Tổng hợp từ 
1. National Research Council. (2012). Nutrient requirements of swine (11th rev. ed.). National Academies Press.
2. Huynh, T. T. T., Aarnink, A. J. A., Verstegen, M. W. A., Gerrits, W. J. J., Heetkamp, M. J. W., Kemp, B., &amp; Canh, T. T. (2004). Effects of increasing temperatures on physiological changes in pigs at different relative humidities. Journal of Animal Science, 82(5), 1385–1396.
3. Nyachoti, C. M., Zijlstra, R. T., de Lange, C. F. M., &amp; Patience, J. F. (2004). Voluntary feed intake in growing-finishing pigs: A review of the main determining factors. Canadian Journal of Animal Science, 84(4), 549–566.
4. Myer, R. O., &amp; Bucklin, R. A. (2015). Influence of environmental conditions on swine performance (Publication No. AN107). University of Florida IFAS Extension.</t>
  </si>
  <si>
    <t>Mức đánh giá đề xuất</t>
  </si>
  <si>
    <t xml:space="preserve">Khoảng THI </t>
  </si>
  <si>
    <t>Chỉ số nhiệt ẩm THI</t>
  </si>
  <si>
    <t>Tuổi</t>
  </si>
  <si>
    <t>Nhiệt độ thích hợp (°C)</t>
  </si>
  <si>
    <t>Nhiệt độ không thích hợp (°C)</t>
  </si>
  <si>
    <t>Độ ẩm thích hợp (%)</t>
  </si>
  <si>
    <t>Độ ẩm không thích hợp (%)</t>
  </si>
  <si>
    <t>&lt;28 hoặc &gt;35</t>
  </si>
  <si>
    <t>&lt;26 hoặc &gt;33</t>
  </si>
  <si>
    <t>&lt;50 hoặc &gt;75</t>
  </si>
  <si>
    <t>0–7 ngày</t>
  </si>
  <si>
    <t>32–35</t>
  </si>
  <si>
    <t>60–80</t>
  </si>
  <si>
    <t>&lt;35 hoặc &gt;85</t>
  </si>
  <si>
    <t>8–14 ngày</t>
  </si>
  <si>
    <t>29–32</t>
  </si>
  <si>
    <t>&lt;40 hoặc &gt;80</t>
  </si>
  <si>
    <t>Sinh trưởng sớm</t>
  </si>
  <si>
    <t>15–28 ngày</t>
  </si>
  <si>
    <t>&lt;20 hoặc &gt;30</t>
  </si>
  <si>
    <t>&lt;45 hoặc &gt;75</t>
  </si>
  <si>
    <t>Sinh trưởng – vỗ béo</t>
  </si>
  <si>
    <t>29–42 ngày</t>
  </si>
  <si>
    <t>18–24</t>
  </si>
  <si>
    <t>&lt;16 hoặc &gt;30–32</t>
  </si>
  <si>
    <t>Gà sau úm / trưởng thành</t>
  </si>
  <si>
    <t>&gt;6 tuần</t>
  </si>
  <si>
    <t>&lt;15 hoặc &gt;30</t>
  </si>
  <si>
    <t>&lt;50 hoặc &gt;70–75</t>
  </si>
  <si>
    <t>Úm</t>
  </si>
  <si>
    <t>Nguồn tổng hợp từ: 
1. Lin, H., Mertens, K., Kemps, B., Govaerts, T., De Ketelaere, B., De Baerdemaeker, J., Decuypere, E., &amp; Buyse, J. (2005). New approach of testing the effect of relative humidity on broiler chickens. Poultry Science, 84(12), 1830–1836. https://doi.org/10.1093/ps/84.12.1830
2. Winn, P. N., &amp; Godfrey, E. F. (1967). The effect of humidity on the growth of chickens. International Journal of Biometeorology, 11(1), 49–56. https://doi.org/10.1007/BF01424274
3. Payne, C. G. (1967). Environmental temperature and humidity for broiler chickens. British Poultry Science, 8(3), 215–225. https://doi.org/10.1080/00071666708415656 
4. Lara, L. J., &amp; Rostagno, M. H. (2013). Impact of heat stress on poultry production. Animals, 3(2), 356–369. https://doi.org/10.3390/ani3020356</t>
  </si>
  <si>
    <t>Không stress</t>
  </si>
  <si>
    <t>Nguy cơ stress</t>
  </si>
  <si>
    <t>Stress nhiệt</t>
  </si>
  <si>
    <t>Stress nghiêm trọng</t>
  </si>
  <si>
    <t>Nguồn: 1.	Zhou, Zhongkai, et al. "Evaluation of Temperature-Humidity Index in a Growing-Finishing Pig Bedding System." Animal Environment and Welfare (2015).</t>
  </si>
  <si>
    <t>&lt;75</t>
  </si>
  <si>
    <t>75-78</t>
  </si>
  <si>
    <t>79-83</t>
  </si>
  <si>
    <t>&gt;84</t>
  </si>
  <si>
    <t>Số vụ lúa và giai đoạn trong năm</t>
  </si>
  <si>
    <t>Vụ</t>
  </si>
  <si>
    <t>Giai đoạn sinh trưởng</t>
  </si>
  <si>
    <t>Thời gian</t>
  </si>
  <si>
    <t>Số vụ trồng bắp cải  và giai đoạn trong năm</t>
  </si>
  <si>
    <t>5–7 ngày</t>
  </si>
  <si>
    <t>18–25 ngày</t>
  </si>
  <si>
    <t>20–30 ngày</t>
  </si>
  <si>
    <t>25–30 ngày</t>
  </si>
  <si>
    <t>7–10 ngày</t>
  </si>
  <si>
    <t>Số vụ súp lơ và giai đoạn trong năm</t>
  </si>
  <si>
    <t>Giai đoạn cụm hoa lơ</t>
  </si>
  <si>
    <t>https://bvtvhungthinh.com/thoi-vu-trong-dua-chuot-o-mien-bac/?utm_source=chatgpt.com</t>
  </si>
  <si>
    <t>Giai đoạn cây con</t>
  </si>
  <si>
    <t>Giai đoạn sinh trưởng thân lá</t>
  </si>
  <si>
    <t>Giai đoạn ra hoa</t>
  </si>
  <si>
    <t>Giai đoạn đậu quả và phát triển quả</t>
  </si>
  <si>
    <t>Nguồn: Báo cáo kết quả phòng chống dịch bệnh ngành nông nghiệp 2022) phần thực hiện diệt chuột đối với các vụ lúa</t>
  </si>
  <si>
    <t>10-15 ngày</t>
  </si>
  <si>
    <t>Số ngày ST</t>
  </si>
  <si>
    <t>Ttb phù hợp</t>
  </si>
  <si>
    <t>Nhu cầu nước</t>
  </si>
  <si>
    <t>Nhu cầu tưới (Code làm)</t>
  </si>
  <si>
    <t>Tháng</t>
  </si>
  <si>
    <t>Trạm tiên yên</t>
  </si>
  <si>
    <t>Trạm uông bí</t>
  </si>
  <si>
    <t>TB</t>
  </si>
  <si>
    <t>Thu hoạch</t>
  </si>
  <si>
    <t>Trống vụ</t>
  </si>
  <si>
    <t>Eto</t>
  </si>
  <si>
    <t>I</t>
  </si>
  <si>
    <t>II</t>
  </si>
  <si>
    <t>III</t>
  </si>
  <si>
    <t>IV</t>
  </si>
  <si>
    <t>V</t>
  </si>
  <si>
    <t>VI</t>
  </si>
  <si>
    <t>VII</t>
  </si>
  <si>
    <t>VIII</t>
  </si>
  <si>
    <t>IX</t>
  </si>
  <si>
    <t>X</t>
  </si>
  <si>
    <t>XI</t>
  </si>
  <si>
    <t>XII</t>
  </si>
  <si>
    <t>Kc (FAO 56)</t>
  </si>
  <si>
    <t>Gieo, nảy mầm, mạ</t>
  </si>
  <si>
    <t xml:space="preserve">Đẻ nhánh, làm đòng, </t>
  </si>
  <si>
    <t>Trỗ, thụ phấn, chắc hạt, chín</t>
  </si>
  <si>
    <t>Nảy mầm - cây con</t>
  </si>
  <si>
    <t>1-2 lá</t>
  </si>
  <si>
    <t>T11.1 - T11.2</t>
  </si>
  <si>
    <t>20-30</t>
  </si>
  <si>
    <t>25-30</t>
  </si>
  <si>
    <t>24-28</t>
  </si>
  <si>
    <t>Giai đoạn nảy mầm</t>
  </si>
  <si>
    <t>17-22</t>
  </si>
  <si>
    <t>Hồi xanh</t>
  </si>
  <si>
    <t>Cụm hoa lơ</t>
  </si>
  <si>
    <t>7-10 ngày</t>
  </si>
  <si>
    <t>Đậu quả và phát triển quả</t>
  </si>
  <si>
    <t>16-28</t>
  </si>
  <si>
    <t>17-26</t>
  </si>
  <si>
    <t>20-25</t>
  </si>
  <si>
    <t>Carey, D., &amp; Deuter, P. (2024). Cauliflower critical temperature thresholds. Queensland Department of Agriculture and Fisheries, DCAP 3 Horticulture Project.</t>
  </si>
  <si>
    <t>15-16</t>
  </si>
  <si>
    <t>21 - 30</t>
  </si>
  <si>
    <t>20-28</t>
  </si>
  <si>
    <t>24-25</t>
  </si>
  <si>
    <t>24-27</t>
  </si>
  <si>
    <t>Ngưỡng rủi ro</t>
  </si>
  <si>
    <t>Ngưỡng phù hợp/bình thường</t>
  </si>
  <si>
    <t>Cảnh báo</t>
  </si>
  <si>
    <t>Nguy hiểm</t>
  </si>
  <si>
    <t>Khẩn cấp</t>
  </si>
  <si>
    <t>Nguồn</t>
  </si>
  <si>
    <t>THI = 0,85Tdb + 0,15Twb</t>
  </si>
  <si>
    <t>THVI = (0,85Tdb + 0,15Twb) × V⁻⁰·⁰⁵⁸</t>
  </si>
  <si>
    <t>≈35°C</t>
  </si>
  <si>
    <t>≈38°C</t>
  </si>
  <si>
    <t>≈40°C</t>
  </si>
  <si>
    <t>&gt;40°C</t>
  </si>
  <si>
    <t>Tao &amp; Xin, 2003</t>
  </si>
  <si>
    <t>&lt;70</t>
  </si>
  <si>
    <t>70–75</t>
  </si>
  <si>
    <t>76–81</t>
  </si>
  <si>
    <t>&gt;81</t>
  </si>
  <si>
    <t>20–20,8°C</t>
  </si>
  <si>
    <t>THI</t>
  </si>
  <si>
    <t>Chỉ số sử dụng</t>
  </si>
  <si>
    <t>THI = (1,8 × T + 32) − [(0,55 − 0,0055 × RH) × (1,8 × T − 26)]</t>
  </si>
  <si>
    <t>THI &lt; 74</t>
  </si>
  <si>
    <t>THI 75-78</t>
  </si>
  <si>
    <t>THI 79 - 83</t>
  </si>
  <si>
    <t>THI &gt; 84</t>
  </si>
  <si>
    <t xml:space="preserve">- Herman M. Vermeer, Andre J.A. Aarnink, (2023) Review on heat stress in pigs on farm.
- Fragomeni BO, Lourenco DA, Tsuruta S, Bradford HL, Gray KA, Huang Y, Misztal I. Using single-step genomic best linear unbiased predictor to enhance the mitigation of seasonal losses due to heat stress in pigs. J Anim Sci. 2016 Dec;94(12):5004-5013. doi: 10.2527/jas.2016-0820. PMID: 28046178. 
- Guevara RD, Pastor JJ, Manteca X, Tedo
G, Llonch P (2022) Systematic review of animalbased
indicators to measure thermal, social, and
immune-related stress in pigs. PLoS ONE 17(5):
e0266524. https://doi.org/10.1371/journal.
pone.0266524 </t>
  </si>
  <si>
    <t>Purswell et al., 2012 (ga thịt)</t>
  </si>
  <si>
    <t>Rầy</t>
  </si>
  <si>
    <t>Sâu cuốn lá</t>
  </si>
  <si>
    <t>Đạo ôn</t>
  </si>
  <si>
    <t>Nấm cổ bông</t>
  </si>
  <si>
    <t>Khô vằn</t>
  </si>
  <si>
    <t>Rầy nâu</t>
  </si>
  <si>
    <t>Các loại sâu bệnh</t>
  </si>
  <si>
    <t xml:space="preserve">Nguồn: https://nongsandungha.com/cach-trong-bap-cai/?utm_source=chatgpt.com
https://chicucttbvtv.ninhbinh.gov.vn/ky-thuat-trong-trot/ky-thuat-trong-rau-bap-cai-199.html?utm_source=chatgpt.com
https://trinongviet.vn/cay-cai-bap-su/?utm_source=chatgpt.com
https://bvtvhungthinh.com/thoi-vu-trong-bap-cai-o-mien-bac/?utm_source=chatgpt.com
</t>
  </si>
  <si>
    <t xml:space="preserve">Nguồn: https://tanthanhco.vn/quy-trinh-sx-sup-lo-xanh-an-toan.html
https://baoquangninh.vn/sup-lo-trai-vu-nhat-ban-2413288.html?utm_source=chatgpt.com
https://www.zbook.vn/ebook/nghien-cuu-anh-huong-cua-cuso4-toi-mot-so-chi-tieu-sinh-ly-sinh-hoa-nang-suat-va-kha-nang-chiu-han-cua-cay-sup-lo-xanh-45196/?utm_source=chatgpt.com
</t>
  </si>
  <si>
    <t xml:space="preserve">Nguồn: Department of Agriculture – Regional Field Office No. 02. (n.d.). Cucumber production guide. Cagayan Valley Department of Agriculture. https://cagayanvalley.da.gov.ph/wp-content/uploads/2018/02/Cucumber-Production-Guide.pdf
Haifa Group. (n.d.). Crop guide: Growing cucumbers. https://www.haifa-group.com/cucumber-fertilizer/crop-guide-growing-cucumbers
University of Minnesota Extension. (n.d.). Growing cucumbers in home gardens. https://extension.umn.edu/vegetables/growing-cucumbers
University of Minnesota Extension. (n.d.). Vining vegetable growing guide. https://extension.umn.edu/commercial-fruit-growing-guides/vining-vegetable-growing-guide
</t>
  </si>
  <si>
    <t>https://danviet.vn/trong-bi-xanh-nong-dan-xa-mien-nui-o-ha-long-kham-kha-han-20230414154743188-d1087540.html?utm_source=chatgpt.com
https://vaas.vn/vi/giong/giong-bi-xanh-so-1
https://nongsandungha.com/trong-bi-xanh-vao-thang-may/?srsltid=AfmBOoo_s2q8P_874ee9OWeJqrVRlQLgBruQ3nkJiaY6nyFsB00X7Uc6</t>
  </si>
  <si>
    <t xml:space="preserve">https://www.jircas.go.jp/en/database/thaivege/018
https://prota.prota4u.org/protav8.asp?h=M4&amp;p=Benincasa+hispida&amp;t=Benincasa%2Chispida&amp;utm 
https://nongthonmoi.hatinh.gov.vn/Nha-nong-can-biet/Huong-Dan-Trong-Va-Cham-Soc-Cay-Bi-Dao-36454.html
https://gap.org.vn/gioi-thieu-ve-cay-bi-dao/ </t>
  </si>
  <si>
    <t>Thối thân</t>
  </si>
  <si>
    <t>Nứt thân</t>
  </si>
  <si>
    <t>Bọ phấn trắng</t>
  </si>
  <si>
    <t>Bọ trĩ</t>
  </si>
  <si>
    <t>Sương mai</t>
  </si>
  <si>
    <t>Bọ cánh cứng</t>
  </si>
  <si>
    <t>Mốc trắng lên men</t>
  </si>
  <si>
    <t>Thán thư</t>
  </si>
  <si>
    <t>Sâu xanh</t>
  </si>
  <si>
    <t>rệp</t>
  </si>
  <si>
    <t>sâu tơ</t>
  </si>
  <si>
    <t>sâu đen</t>
  </si>
  <si>
    <t>Thối rễ</t>
  </si>
  <si>
    <t>Sâu ăn lá</t>
  </si>
  <si>
    <t xml:space="preserve">sâu xanh </t>
  </si>
  <si>
    <t>sâu khoang</t>
  </si>
  <si>
    <t>Thối gốc</t>
  </si>
  <si>
    <t>Sâu tơ</t>
  </si>
  <si>
    <t>Đốm trắng</t>
  </si>
  <si>
    <t>Bệnh đối với Lợn</t>
  </si>
  <si>
    <t>Các chủng loại bệnh đối với con lợn</t>
  </si>
  <si>
    <t>Dịch tả lợn Châu Phi</t>
  </si>
  <si>
    <t>Dịch tả lợn cổ điển</t>
  </si>
  <si>
    <t>Viêm phổi dính sườn</t>
  </si>
  <si>
    <t>Suyễn lợn</t>
  </si>
  <si>
    <t>Tai xanh</t>
  </si>
  <si>
    <t>Cúm lợn</t>
  </si>
  <si>
    <t>Tiêu chảy do E. coli</t>
  </si>
  <si>
    <t>Sưng mặt, phù đầu</t>
  </si>
  <si>
    <t>Đóng dấu lợn</t>
  </si>
  <si>
    <t>Lở mồm long móng</t>
  </si>
  <si>
    <t>Tụ huyết trùng lợn</t>
  </si>
  <si>
    <t>BỆNH ĐỐI VỚI GÀ</t>
  </si>
  <si>
    <t>Các chủng loại bệnh đối với con gà</t>
  </si>
  <si>
    <t>Hen gà</t>
  </si>
  <si>
    <t>Cúm gia cầm độc lực cao</t>
  </si>
  <si>
    <t>Cầu trùng gà</t>
  </si>
  <si>
    <t>Viêm ruột hoại tử</t>
  </si>
  <si>
    <t>Thương hàn gà</t>
  </si>
  <si>
    <t>Newcastle</t>
  </si>
  <si>
    <t>Tụ huyết trùng gia cầm</t>
  </si>
  <si>
    <t>x</t>
  </si>
  <si>
    <t>SÂU BỆNH HẠI LÚA</t>
  </si>
  <si>
    <t>Nhiệt độ thuận lợi</t>
  </si>
  <si>
    <t>Độ ẩm thuận lợi</t>
  </si>
  <si>
    <t>Điều kiện khác</t>
  </si>
  <si>
    <t>Ruộng rậm rạp, bón thừa đạm, thời tiết nóng ẩm, ít mưa lớn, ít thiên địch</t>
  </si>
  <si>
    <t>Ruộng xanh tốt, bón nhiều đạm; mưa nhỏ, ẩm cao thuận lợi cho sâu phát sinh</t>
  </si>
  <si>
    <t>Đục thân</t>
  </si>
  <si>
    <t>Lá ướt kéo dài, sương mù, mưa phùn, trời âm u; bón thừa đạm làm bệnh nặng hơn</t>
  </si>
  <si>
    <t>Mẫn cảm nhất từ làm đòng đến trỗ – vào chắc; mưa, trời âm u, bón nhiều đạm thuận lợi cho bệnh</t>
  </si>
  <si>
    <t>Ẩm độ bão hòa hoặc lượng mưa cao; ruộng cấy dày, bón thừa đạm, tán lá rậm</t>
  </si>
  <si>
    <t>Bón nhiều đạm, gieo cấy dày, dùng thuốc phổ rộng làm giảm thiên địch dễ gây bộc phát rầy</t>
  </si>
  <si>
    <t>Nhiệt độ tối cao: 33°C; nhiệt độ tối thấp: 28–30°C; nhiệt độ tối ưu: 28–30°C</t>
  </si>
  <si>
    <t>Nhiệt độ tối ưu cho trứng: 22–31°C; trứng không nở ở 37°C</t>
  </si>
  <si>
    <t>RH tối ưu: 77–100%; trứng nở giảm khi RH &lt; 66%</t>
  </si>
  <si>
    <t>Nhiệt độ tối ưu cho trứng nở: 24–29°C; sâu non chết ở 35°C</t>
  </si>
  <si>
    <t>RH tối ưu: 90–100%; trứng nở giảm mạnh khi RH &lt; 70%</t>
  </si>
  <si>
    <t>Thời gian nắng 14,5–16,0 giờ; mưa vừa phải thuận lợi; gây dảnh héo và bông bạc</t>
  </si>
  <si>
    <t>Nhiệt độ ngày tối ưu: 25–28°C; nhiệt độ đêm tối ưu: 17–23°C</t>
  </si>
  <si>
    <t>RH &gt; 90%; tối ưu cho bào tử khoảng 89–93%</t>
  </si>
  <si>
    <t>Nhiệt độ thuận lợi: 25–35°C; mạnh nhất khoảng 25–30°C khi lúa trỗ</t>
  </si>
  <si>
    <t>RH &gt; 90%, nhiều tài liệu ghi RH &gt; 95% làm bệnh nặng</t>
  </si>
  <si>
    <t>Nhiệt độ tối ưu: 28–32°C; &lt; 10°C và &gt; 38°C bệnh gần như ngừng phát triển</t>
  </si>
  <si>
    <t>RH trong tán lá: 85–100%</t>
  </si>
  <si>
    <t>Nhiệt độ tối ưu: 25–30°C; phát triển tốt nhất khoảng 25–29°C; 33–35°C bất lợi</t>
  </si>
  <si>
    <t>RH thuận lợi: 70–85%</t>
  </si>
  <si>
    <t>Giai đoạn ảnh hưởng</t>
  </si>
  <si>
    <t>Điều kiện thuận lợi sâu bệnh phát triển</t>
  </si>
  <si>
    <t>SÂU BỆNH HẠI BẮP CẢI</t>
  </si>
  <si>
    <t>nảy mầm</t>
  </si>
  <si>
    <t>cây con</t>
  </si>
  <si>
    <t>cây có 1-2 lá thật</t>
  </si>
  <si>
    <t>75-85</t>
  </si>
  <si>
    <t xml:space="preserve">Không có mưa lớn. Điều kiện thích hợp nhất cho sâu tơ phát triển và gây hại vào tháng 2-4 </t>
  </si>
  <si>
    <t>Mưa phùn nhẹ hoặc độ ẩm cao, có nắng nhẹ</t>
  </si>
  <si>
    <t>25-28</t>
  </si>
  <si>
    <t>Xuất hiện quanh năm, tuy nhiên nhiều nhất vào cuối tháng 2 đến giữa tháng 3 và từ tháng 9 đến tháng 12</t>
  </si>
  <si>
    <t>75-85%</t>
  </si>
  <si>
    <t>60-75%</t>
  </si>
  <si>
    <t>70-85%</t>
  </si>
  <si>
    <t>Gây hại mạnh ở giai đoạn nảy mầm, cây con và cây có 1–2 lá thật; sâu thường cắn ngang thân sát mặt đất, hoạt động mạnh về đêm, ruộng ẩm và nhiều cỏ dại thuận lợi cho sâu phát sinh</t>
  </si>
  <si>
    <t>Nguồn: NGUYỄN VĂN HỒNG (2019) BCTK để tài: NGHIÊN CỨU XÂY DỰNG HỆ THỐNG GIÁM SÁT VÀ CẢNH BÁO SỚM RỦI RO DỊCH BỆNH PHỤC VỤ QUẢN LÝ NÔNG NGHIỆP VÀ PHÒNG CHỐNG THIÊN TAI</t>
  </si>
  <si>
    <t>Giáo trình cây lương thực, NXB nông nghiệp 2003</t>
  </si>
  <si>
    <t xml:space="preserve">Nguồn: Giáo trình cây rau, NXB nông nghiệp 2010
</t>
  </si>
  <si>
    <t>20 - 25</t>
  </si>
  <si>
    <t>12-13</t>
  </si>
  <si>
    <t>9-16</t>
  </si>
  <si>
    <t>25-31</t>
  </si>
  <si>
    <t>15-20</t>
  </si>
  <si>
    <t>30-33</t>
  </si>
  <si>
    <t>12-18</t>
  </si>
  <si>
    <t>SÂU BỆNH HẠI SÚP LƠ</t>
  </si>
  <si>
    <t>18–25°C</t>
  </si>
  <si>
    <t>80–90%</t>
  </si>
  <si>
    <t>Đất ẩm ướt, thoát nước kém, mưa nhiều, gieo trồng dày; bệnh thường hại mạnh ở giai đoạn cây con đến hồi xanh.</t>
  </si>
  <si>
    <t>10 - 20</t>
  </si>
  <si>
    <t>85 - 95</t>
  </si>
  <si>
    <t>90 - 100</t>
  </si>
  <si>
    <t>Thời tiết lạnh ẩm, nhiều sương, mưa phùn, lá ướt kéo dài; bệnh thường xuất hiện mặt dưới lá, gây vàng lá, cháy lá.</t>
  </si>
  <si>
    <t>Bệnh phát triển mạnh khi trời mát, ẩm cao, có mưa phùn, sương mù; vết bệnh xuất hiện trên lá, làm giảm khả năng quang hợp.</t>
  </si>
  <si>
    <t>Thời tiết nóng ẩm, mưa xen kẽ nắng, ruộng nhiều cỏ dại; sâu non ăn lá mạnh, mật độ cao có thể gây trụi lá.</t>
  </si>
  <si>
    <t>SÂU BỆNH HẠI DƯA CHUỘT</t>
  </si>
  <si>
    <t>20–28°C</t>
  </si>
  <si>
    <t>Đất ẩm ướt, thoát nước kém, mưa nhiều, cây bị xây xát; bệnh thường hại mạnh ở giai đoạn cây con và sinh trưởng thân lá</t>
  </si>
  <si>
    <t>20–30°C</t>
  </si>
  <si>
    <t>80–95%</t>
  </si>
  <si>
    <t>Ruộng ẩm, mưa nhiều, tưới nước không đều, cây sinh trưởng quá mạnh; vết bệnh thường xuất hiện ở gốc thân, thân chính và cành</t>
  </si>
  <si>
    <t>25–32°C</t>
  </si>
  <si>
    <t>60–80%</t>
  </si>
  <si>
    <t>Thời tiết nóng, khô, ít mưa; bọ thường tập trung mặt dưới lá, chích hút nhựa và truyền bệnh virus</t>
  </si>
  <si>
    <t>25–30°C</t>
  </si>
  <si>
    <t>60–75%</t>
  </si>
  <si>
    <t>Thời tiết khô nóng, ít mưa; gây hại lá non, hoa và quả non, làm lá xoăn, quả cong, sần sùi</t>
  </si>
  <si>
    <t>85–100%</t>
  </si>
  <si>
    <t>Trời mát, ẩm cao, có sương mù, mưa phùn, lá ướt kéo dài; bệnh phát triển mạnh trên lá già và lan nhanh khi ruộng rậm rạp</t>
  </si>
  <si>
    <t>70–85%</t>
  </si>
  <si>
    <t>Trưởng thành ăn lá non, hoa; phát sinh mạnh khi thời tiết ấm, ruộng nhiều cỏ dại, cây đang ra lá non</t>
  </si>
  <si>
    <t>20–25°C</t>
  </si>
  <si>
    <t>85–95%</t>
  </si>
  <si>
    <t>Ẩm độ cao, ruộng bí, thông thoáng kém, mưa kéo dài; bệnh thường phát triển trên thân, lá, hoa và quả khi mô cây bị tổn thương</t>
  </si>
  <si>
    <t>24–30°C</t>
  </si>
  <si>
    <t>Mưa nhiều, ẩm cao, lá ướt kéo dài; bệnh gây đốm lá, thối thân, thối quả, thường nặng ở giai đoạn ra hoa – phát triển quả</t>
  </si>
  <si>
    <t>SÂU BỆNH HẠI BÍ XANH</t>
  </si>
  <si>
    <t>Đất ẩm ướt, thoát nước kém, mưa nhiều, tưới quá ẩm; bệnh thường gây hại mạnh ở giai đoạn nảy mầm, cây con và đầu sinh trưởng thân lá.</t>
  </si>
  <si>
    <t>Thời tiết ấm, ẩm; ruộng xanh tốt, nhiều lá non, bón nhiều đạm; sâu non ăn khuyết lá, mật độ cao có thể làm trụi lá.</t>
  </si>
  <si>
    <t>25–28°C</t>
  </si>
  <si>
    <t>75–85%</t>
  </si>
  <si>
    <t>Mưa phùn nhẹ hoặc ẩm độ cao, có nắng nhẹ; sâu non gây hại lá non, hoa và quả non, phát triển mạnh khi cây sinh trưởng tốt.</t>
  </si>
  <si>
    <t>Sâu khoang</t>
  </si>
  <si>
    <t>Thời tiết nóng ẩm, mưa xen kẽ nắng; ruộng rậm rạp, nhiều cỏ dại; sâu non ăn lá, hoa, quả non, gây hại mạnh khi mật độ cao.</t>
  </si>
  <si>
    <t>- Castejón-Muñoz, M. (2008). The effect of temperature and relative humidity on the airborne concentration of Pyricularia oryzae spores and the development of rice blast in southern Spain. Spanish Journal of Agricultural Research, 6(1), 61–69.
- Khadka, R. B., et al. (2025). Defending rice crop from blast disease in the context of climate change. Frontiers in Plant Science.</t>
  </si>
  <si>
    <t>- CABI. (2022). Plutella xylostella (diamondback moth). CABI Compendium.
-Archer, T. L., Musick, G. J., &amp; Murray, R. L. (1980). Influence of temperature and moisture on black cutworm (Lepidoptera: Noctuidae) development and reproduction. The Canadian Entomologist, 112(6), 665–673.</t>
  </si>
  <si>
    <t>- Government of Victoria. (2026). Downy mildew of brassicas. Agriculture Victoria.
- Bayer Crop Science. (2025). Brassica disease field guide. Bayer Vegetable Seeds.</t>
  </si>
  <si>
    <t>- Sun, S., Liu, Y., &amp; Hausbeck, M. K. (2017). Effects of temperature and moisture on sporulation and infection by Pseudoperonospora cubensis. Plant Disease, 101(4), 562–567.</t>
  </si>
  <si>
    <t>Điều kiện nhiệt độ thuận lợi</t>
  </si>
  <si>
    <t>Điều kiện ẩm thuận lợi</t>
  </si>
  <si>
    <t>Các điều kiện khác</t>
  </si>
  <si>
    <t>Thời gian thường xuất hiện tại Việt Nam</t>
  </si>
  <si>
    <t>Quanh năm; nguy cơ cao khi tái đàn, vận chuyển, giết mổ, buôn bán lợn và sản phẩm lợn không kiểm soát</t>
  </si>
  <si>
    <t>Lây qua lợn bệnh, máu, dịch tiết, thức ăn thừa, phương tiện, dụng cụ, người mang mầm bệnh cơ học</t>
  </si>
  <si>
    <t>WOAH, 2025: https://www.woah.org/en/disease/african-swine-fever/ ; FAO, 2001: https://www.fao.org/4/Y0510E/Y0510E02.htm</t>
  </si>
  <si>
    <t>Quanh năm; thường gặp ở đàn chưa tiêm phòng hoặc tiêm phòng không đầy đủ</t>
  </si>
  <si>
    <t>Lây qua tiếp xúc trực tiếp, sản phẩm thịt nhiễm virus, dụng cụ và phương tiện chăn nuôi</t>
  </si>
  <si>
    <t>WOAH, n.d.: https://www.woah.org/en/disease/classical-swine-fever/ ; MSD Veterinary Manual, 2024: https://www.msdvetmanual.com/generalized-conditions/classical-swine-fever/classical-swine-fever</t>
  </si>
  <si>
    <t>Thường gặp ở lợn sau cai sữa, lợn choai, lợn thịt; dễ phát sinh khi chuyển mùa, vận chuyển, nhập đàn</t>
  </si>
  <si>
    <t>Mật độ nuôi cao, khí độc NH₃/H₂S, bụi chuồng, stress vận chuyển làm bệnh hô hấp nặng hơn</t>
  </si>
  <si>
    <t>MSD Veterinary Manual, 2021: https://www.msdvetmanual.com/respiratory-system/respiratory-diseases-of-pigs/pleuropneumonia-in-pigs</t>
  </si>
  <si>
    <t>Thường gặp ở lợn sau cai sữa đến lợn thịt; hay kéo dài âm ỉ trong đàn, tăng vào mùa lạnh ẩm</t>
  </si>
  <si>
    <t>Segalés et al., 2012: https://pubmed.ncbi.nlm.nih.gov/21904808/ ; MSD Veterinary Manual, 2021: https://www.msdvetmanual.com/respiratory-system/respiratory-diseases-of-pigs/mycoplasmal-pneumonia-in-pigs</t>
  </si>
  <si>
    <t>Quanh năm; thường gặp ở lợn nái, lợn con theo mẹ, lợn sau cai sữa và lợn thịt; dễ bùng phát khi nhập đàn, vận chuyển</t>
  </si>
  <si>
    <t>Lây qua tiếp xúc trực tiếp, tinh dịch, không khí cự ly gần, dụng cụ, phương tiện; mật độ cao làm bệnh lan nhanh</t>
  </si>
  <si>
    <t>Linhares &amp; Ramirez, 2025: https://www.msdvetmanual.com/generalized-conditions/porcine-reproductive-and-respiratory-syndrome/porcine-reproductive-and-respiratory-syndrome</t>
  </si>
  <si>
    <t>Lây nhanh qua giọt bắn, khí dung; mật độ cao, nhập đàn mới, stress làm bệnh bùng phát</t>
  </si>
  <si>
    <t>MSD Veterinary Manual, 2024: https://www.msdvetmanual.com/respiratory-system/respiratory-diseases-of-pigs/influenza-a-virus-in-swine</t>
  </si>
  <si>
    <t>Chủ yếu ở lợn con sơ sinh, lợn con theo mẹ và lợn sau cai sữa; dễ gặp khi thời tiết lạnh ẩm</t>
  </si>
  <si>
    <t>Thay đổi thức ăn, cai sữa, thiếu sữa đầu, mật độ cao, nước uống/thức ăn nhiễm khuẩn</t>
  </si>
  <si>
    <t>MSD Veterinary Manual, 2026: https://www.msdvetmanual.com/digestive-system/enteric-bacterial-diseases-in-pigs/enteric-colibacillosis-in-pigs ; Castro et al., 2022: https://pmc.ncbi.nlm.nih.gov/articles/PMC9650617/</t>
  </si>
  <si>
    <t>MSD Veterinary Manual, 2021: https://www.msdvetmanual.com/generalized-conditions/edema-disease/edema-disease-in-pigs</t>
  </si>
  <si>
    <t>Thường gặp ở lợn choai, lợn thịt, lợn nái; dễ phát sinh vào mùa nóng ẩm, mưa nhiều</t>
  </si>
  <si>
    <t>Mật độ cao, vệ sinh kém, stress vận chuyển, thay đổi thời tiết, sức đề kháng giảm</t>
  </si>
  <si>
    <t>Merck Veterinary Manual, 2025: https://www.merckvetmanual.com/infectious-diseases/erysipelothrix-rhusiopathiae-infection/swine-erysipelas</t>
  </si>
  <si>
    <t>Phó thương hàn lợn</t>
  </si>
  <si>
    <t>Thường gặp ở lợn con sau cai sữa đến lợn thịt; dễ phát sinh khi nuôi nhốt mật độ cao</t>
  </si>
  <si>
    <t>Thức ăn, nước uống nhiễm khuẩn; stress cai sữa, vận chuyển, thay đổi khẩu phần; vệ sinh kém</t>
  </si>
  <si>
    <t>Merck Veterinary Manual, 2026: https://www.merckvetmanual.com/digestive-system/enteric-bacterial-diseases-in-pigs/intestinal-salmonellosis-in-pigs</t>
  </si>
  <si>
    <t>Viêm não Nhật Bản</t>
  </si>
  <si>
    <t>Ao tù, nước đọng, ruộng lúa, khu vực nhiều muỗi; lợn là vật chủ khuếch đại virus</t>
  </si>
  <si>
    <t>Cục Y tế dự phòng, 2020: https://vncdc.gov.vn/benh-viem-nao-vi-rut-nd14521.html ; CDC, 2026: https://www.cdc.gov/japanese-encephalitis/data-maps/index.html</t>
  </si>
  <si>
    <t>Lây rất nhanh qua tiếp xúc trực tiếp, không khí, phương tiện, người, dụng cụ, sản phẩm động vật nhiễm virus</t>
  </si>
  <si>
    <t>MSD Veterinary Manual, 2026: https://www.msdvetmanual.com/infectious-diseases/foot-and-mouth-disease/foot-and-mouth-disease-in-animals</t>
  </si>
  <si>
    <t>Thường phát sinh khi nắng nóng, mưa nhiều, chuyển mùa; dễ gặp ở lợn sau cai sữa, lợn thịt</t>
  </si>
  <si>
    <t>Chuồng trại bẩn, thông thoáng kém, mật độ cao, sức đề kháng giảm; bệnh có thể ghép với suyễn, dịch tả, phó thương hàn</t>
  </si>
  <si>
    <t>Trung tâm Khuyến nông Quốc gia, 2017: https://khuyennongvn.gov.vn/khoa-hoc-cong-nghe/khcn-trong-nuoc/benh-tu-huyet-trung-pasteurellosis-15584.html</t>
  </si>
  <si>
    <t>Nhiệt độ thấp, mát lạnh; 4–17°C virus tồn tại lâu; nấu chín/bị nhiệt cao sẽ bất hoạt virus</t>
  </si>
  <si>
    <t>Nhiệt độ thấp, mát lạnh; 4–25°C virus tồn tại tốt hơn; 60°C/30 phút có thể bất hoạt virus</t>
  </si>
  <si>
    <t>70–90%, Chuồng trại ẩm bẩn, vệ sinh kém làm tăng nguy cơ tồn lưu và lây lan mầm bệnh</t>
  </si>
  <si>
    <t>70–90%, chuồng ẩm thấp, vệ sinh kém</t>
  </si>
  <si>
    <t>Mật độ nuôi cao, nhiều bụi, khí độc NH₃, stress, ghép với E. coli hoặc viêm phế quản truyền nhiễm</t>
  </si>
  <si>
    <t>MSD Veterinary Manual, 2024: https://www.msdvetmanual.com/poultry/infectious-coryza/infectious-coryza</t>
  </si>
  <si>
    <t>Lây qua gia cầm bệnh, chim hoang dã, chất thải, nước, dụng cụ, phương tiện, chợ gia cầm sống</t>
  </si>
  <si>
    <t>Swayne, 2026: https://www.msdvetmanual.com/poultry/avian-influenza-in-poultry-and-wild-birds/avian-influenza-in-poultry-and-wild-birds; FAO Việt Nam, 2024: https://www.fao.org/vietnam/news/detail/Stay-vigilant-with-Highly-Pathogenic-Avian-Influenza-A%28H5N1%29/en</t>
  </si>
  <si>
    <t>Mật độ cao, chất độn chuồng ướt, vệ sinh kém, thay đổi thức ăn, sức đề kháng kém</t>
  </si>
  <si>
    <t>Gerhold, 2023: https://www.merckvetmanual.com/poultry/coccidiosis-in-poultry/coccidiosis-in-poultry</t>
  </si>
  <si>
    <t>Hargis, 2023: https://www.msdvetmanual.com/poultry/necrotic-enteritis/necrotic-enteritis-in-poultry</t>
  </si>
  <si>
    <t>Đại tràng gà E. coli</t>
  </si>
  <si>
    <t>Quanh năm; thường gặp ở gà con, gà thịt, gà đẻ khi bị stress hoặc ghép bệnh hô hấp</t>
  </si>
  <si>
    <t>Hay kế phát sau hen gà, viêm phế quản, Newcastle; bụi, khí độc, mật độ cao, nước uống nhiễm khuẩn</t>
  </si>
  <si>
    <t>Nolan et al., 2020: https://www.merckvetmanual.com/poultry/colibacillosis/colibacillosis-in-poultry</t>
  </si>
  <si>
    <t>Quanh năm; thường gặp ở gà con, gà hậu bị, gà đẻ; tăng khi vệ sinh kém, ẩm ướt</t>
  </si>
  <si>
    <t>Lây qua trứng, phân, thức ăn, nước uống, dụng cụ nhiễm khuẩn; mật độ cao làm bệnh lan nhanh</t>
  </si>
  <si>
    <t>Shivaprasad, 2024: https://www.merckvetmanual.com/poultry/salmonelloses/pullorum-disease-and-fowl-typhoid-in-poultry</t>
  </si>
  <si>
    <t>Lây rất nhanh qua hô hấp, phân, nước uống, thức ăn, dụng cụ, người và phương tiện; gà chưa tiêm phòng rất dễ mắc</t>
  </si>
  <si>
    <t>WOAH, n.d.: https://www.woah.org/en/disease/newcastle-disease/</t>
  </si>
  <si>
    <t>Thường gặp ở gà lớn, gà đẻ; tăng vào mùa mưa, nóng ẩm, thời tiết thay đổi</t>
  </si>
  <si>
    <t>Mật độ cao, vệ sinh kém, stress, thiếu dinh dưỡng; xác gia cầm chết cần xử lý nhanh để tránh lây lan</t>
  </si>
  <si>
    <t>Lighty, 2024: https://www.merckvetmanual.com/poultry/fowl-cholera/fowl-cholera</t>
  </si>
  <si>
    <t>Bệnh Marek / nổi cục</t>
  </si>
  <si>
    <t>Lây qua bụi chuồng, vảy da, nang lông; phòng chủ yếu bằng vắc xin và vệ sinh chuồng trại</t>
  </si>
  <si>
    <t>Nair, 2025: https://www.merckvetmanual.com/poultry/neoplasms-in-poultry/marek-s-disease-in-poultry</t>
  </si>
  <si>
    <t>Ký sinh trùng đường máu</t>
  </si>
  <si>
    <t>Trung tâm Khuyến nông Quốc gia, 2013: https://khuyennongvn.gov.vn/khoa-hoc-cong-nghe/khcn-trong-nuoc/benh-ky-sinh-trung-mau-tren-ga-leucoccytozoonosis-disease-7266.html; Van Wettere, 2025: https://www.merckvetmanual.com/poultry/bloodborne-organisms/leucocytozoonosis-in-poultry</t>
  </si>
  <si>
    <t>Đậu gà</t>
  </si>
  <si>
    <t>Lây qua muỗi, côn trùng hút máu, vết trầy xước da, tiếp xúc với vảy đậu; bệnh lây chậm nhưng kéo dài trong đàn</t>
  </si>
  <si>
    <t>Tripathy, 2024: https://www.merckvetmanual.com/poultry/fowlpox/fowlpox-in-chickens-and-turkeys; Jacob, n.d.: https://poultry.extension.org/articles/poultry-health/common-poultry-diseases/fowl-pox-in-poultry/</t>
  </si>
  <si>
    <r>
      <t xml:space="preserve"> </t>
    </r>
    <r>
      <rPr>
        <b/>
        <sz val="11"/>
        <color theme="1"/>
        <rFont val="Calibri Light"/>
        <family val="1"/>
        <scheme val="major"/>
      </rPr>
      <t>&gt;20,8–21°C</t>
    </r>
  </si>
  <si>
    <r>
      <t xml:space="preserve"> </t>
    </r>
    <r>
      <rPr>
        <b/>
        <sz val="11"/>
        <color theme="1"/>
        <rFont val="Calibri Light"/>
        <family val="1"/>
        <scheme val="major"/>
      </rPr>
      <t>21–26°C</t>
    </r>
  </si>
  <si>
    <r>
      <t>Lahiry A.</t>
    </r>
    <r>
      <rPr>
        <sz val="12"/>
        <color rgb="FFC0C0C0"/>
        <rFont val="Calibri Light"/>
        <family val="1"/>
        <scheme val="major"/>
      </rPr>
      <t>, </t>
    </r>
    <r>
      <rPr>
        <sz val="12"/>
        <color rgb="FF2E2E2E"/>
        <rFont val="Calibri Light"/>
        <family val="1"/>
        <scheme val="major"/>
      </rPr>
      <t>Ahmed T.</t>
    </r>
    <r>
      <rPr>
        <sz val="12"/>
        <color rgb="FFC0C0C0"/>
        <rFont val="Calibri Light"/>
        <family val="1"/>
        <scheme val="major"/>
      </rPr>
      <t>, </t>
    </r>
    <r>
      <rPr>
        <sz val="12"/>
        <color rgb="FF2E2E2E"/>
        <rFont val="Calibri Light"/>
        <family val="1"/>
        <scheme val="major"/>
      </rPr>
      <t>Afrin A.</t>
    </r>
    <r>
      <rPr>
        <sz val="12"/>
        <color rgb="FFC0C0C0"/>
        <rFont val="Calibri Light"/>
        <family val="1"/>
        <scheme val="major"/>
      </rPr>
      <t>, </t>
    </r>
    <r>
      <rPr>
        <sz val="12"/>
        <color rgb="FF2E2E2E"/>
        <rFont val="Calibri Light"/>
        <family val="1"/>
        <scheme val="major"/>
      </rPr>
      <t>Rahman M.S.</t>
    </r>
    <r>
      <rPr>
        <sz val="12"/>
        <color rgb="FFC0C0C0"/>
        <rFont val="Calibri Light"/>
        <family val="1"/>
        <scheme val="major"/>
      </rPr>
      <t>, </t>
    </r>
    <r>
      <rPr>
        <sz val="12"/>
        <color rgb="FF2E2E2E"/>
        <rFont val="Calibri Light"/>
        <family val="1"/>
        <scheme val="major"/>
      </rPr>
      <t>Chowdhury M.A.K.</t>
    </r>
    <r>
      <rPr>
        <sz val="12"/>
        <color rgb="FFC0C0C0"/>
        <rFont val="Calibri Light"/>
        <family val="1"/>
        <scheme val="major"/>
      </rPr>
      <t>, </t>
    </r>
    <r>
      <rPr>
        <sz val="12"/>
        <color rgb="FF2E2E2E"/>
        <rFont val="Calibri Light"/>
        <family val="1"/>
        <scheme val="major"/>
      </rPr>
      <t>Das S.C.(2025)</t>
    </r>
  </si>
  <si>
    <r>
      <t xml:space="preserve">Quanh năm; tăng vào </t>
    </r>
    <r>
      <rPr>
        <b/>
        <sz val="11"/>
        <color theme="1"/>
        <rFont val="Calibri Light"/>
        <family val="1"/>
        <scheme val="major"/>
      </rPr>
      <t>đông – xuân</t>
    </r>
    <r>
      <rPr>
        <sz val="11"/>
        <color theme="1"/>
        <rFont val="Calibri Light"/>
        <family val="1"/>
        <scheme val="major"/>
      </rPr>
      <t>, lúc giao mùa, mưa rét, thay đổi thời tiết</t>
    </r>
  </si>
  <si>
    <r>
      <t>18–25°C</t>
    </r>
    <r>
      <rPr>
        <sz val="11"/>
        <color theme="1"/>
        <rFont val="Calibri Light"/>
        <family val="1"/>
        <scheme val="major"/>
      </rPr>
      <t>; lạnh, chênh lệch nhiệt độ ngày đêm lớn làm bệnh hô hấp nặng hơn</t>
    </r>
  </si>
  <si>
    <r>
      <t>70–85%</t>
    </r>
    <r>
      <rPr>
        <sz val="11"/>
        <color theme="1"/>
        <rFont val="Calibri Light"/>
        <family val="1"/>
        <scheme val="major"/>
      </rPr>
      <t>; chuồng ẩm, bí, thông thoáng kém</t>
    </r>
  </si>
  <si>
    <r>
      <t xml:space="preserve">Quanh năm; nguy cơ cao vào </t>
    </r>
    <r>
      <rPr>
        <b/>
        <sz val="11"/>
        <color theme="1"/>
        <rFont val="Calibri Light"/>
        <family val="1"/>
        <scheme val="major"/>
      </rPr>
      <t>đông – xuân</t>
    </r>
    <r>
      <rPr>
        <sz val="11"/>
        <color theme="1"/>
        <rFont val="Calibri Light"/>
        <family val="1"/>
        <scheme val="major"/>
      </rPr>
      <t>, thời điểm rét, ẩm, vận chuyển và buôn bán gia cầm tăng</t>
    </r>
  </si>
  <si>
    <r>
      <t>4–25°C</t>
    </r>
    <r>
      <rPr>
        <sz val="11"/>
        <color theme="1"/>
        <rFont val="Calibri Light"/>
        <family val="1"/>
        <scheme val="major"/>
      </rPr>
      <t>; virus tồn tại tốt hơn trong điều kiện mát, lạnh</t>
    </r>
  </si>
  <si>
    <r>
      <t>≥70–90%</t>
    </r>
    <r>
      <rPr>
        <sz val="11"/>
        <color theme="1"/>
        <rFont val="Calibri Light"/>
        <family val="1"/>
        <scheme val="major"/>
      </rPr>
      <t>; môi trường ẩm, chất thải, nước ao hồ, chợ gia cầm sống làm tăng nguy cơ tồn lưu virus</t>
    </r>
  </si>
  <si>
    <r>
      <t xml:space="preserve">Hay gặp ở gà con, gà thịt từ </t>
    </r>
    <r>
      <rPr>
        <b/>
        <sz val="11"/>
        <color theme="1"/>
        <rFont val="Calibri Light"/>
        <family val="1"/>
        <scheme val="major"/>
      </rPr>
      <t>2–8 tuần tuổi</t>
    </r>
    <r>
      <rPr>
        <sz val="11"/>
        <color theme="1"/>
        <rFont val="Calibri Light"/>
        <family val="1"/>
        <scheme val="major"/>
      </rPr>
      <t>; tăng vào mùa mưa, chuồng ẩm</t>
    </r>
  </si>
  <si>
    <r>
      <t>25–30°C</t>
    </r>
    <r>
      <rPr>
        <sz val="11"/>
        <color theme="1"/>
        <rFont val="Calibri Light"/>
        <family val="1"/>
        <scheme val="major"/>
      </rPr>
      <t>; noãn nang cầu trùng phát triển tốt trong điều kiện ấm</t>
    </r>
  </si>
  <si>
    <r>
      <t>75–90%</t>
    </r>
    <r>
      <rPr>
        <sz val="11"/>
        <color theme="1"/>
        <rFont val="Calibri Light"/>
        <family val="1"/>
        <scheme val="major"/>
      </rPr>
      <t>; nền chuồng ẩm ướt, chất độn chuồng ẩm</t>
    </r>
  </si>
  <si>
    <r>
      <t xml:space="preserve">Thường gặp ở gà thịt </t>
    </r>
    <r>
      <rPr>
        <b/>
        <sz val="11"/>
        <color theme="1"/>
        <rFont val="Calibri Light"/>
        <family val="1"/>
        <scheme val="major"/>
      </rPr>
      <t>2–6 tuần tuổi</t>
    </r>
    <r>
      <rPr>
        <sz val="11"/>
        <color theme="1"/>
        <rFont val="Calibri Light"/>
        <family val="1"/>
        <scheme val="major"/>
      </rPr>
      <t>; dễ xuất hiện sau cầu trùng hoặc khi thay đổi khẩu phần</t>
    </r>
  </si>
  <si>
    <r>
      <t>25–32°C</t>
    </r>
    <r>
      <rPr>
        <sz val="11"/>
        <color theme="1"/>
        <rFont val="Calibri Light"/>
        <family val="1"/>
        <scheme val="major"/>
      </rPr>
      <t>; nóng ẩm làm chuồng bí và nền ẩm, tạo điều kiện rối loạn tiêu hóa</t>
    </r>
  </si>
  <si>
    <r>
      <t>70–90%</t>
    </r>
    <r>
      <rPr>
        <sz val="11"/>
        <color theme="1"/>
        <rFont val="Calibri Light"/>
        <family val="1"/>
        <scheme val="major"/>
      </rPr>
      <t>; nền chuồng ẩm, chất độn chuồng bẩn</t>
    </r>
  </si>
  <si>
    <r>
      <t xml:space="preserve">Liên quan đến </t>
    </r>
    <r>
      <rPr>
        <i/>
        <sz val="11"/>
        <color theme="1"/>
        <rFont val="Calibri Light"/>
        <family val="1"/>
        <scheme val="major"/>
      </rPr>
      <t>Clostridium perfringens</t>
    </r>
    <r>
      <rPr>
        <sz val="11"/>
        <color theme="1"/>
        <rFont val="Calibri Light"/>
        <family val="1"/>
        <scheme val="major"/>
      </rPr>
      <t>, khẩu phần giàu đạm, thay đổi thức ăn, cầu trùng, mật độ cao</t>
    </r>
  </si>
  <si>
    <r>
      <t>20–30°C</t>
    </r>
    <r>
      <rPr>
        <sz val="11"/>
        <color theme="1"/>
        <rFont val="Calibri Light"/>
        <family val="1"/>
        <scheme val="major"/>
      </rPr>
      <t>; thay đổi nhiệt độ đột ngột làm tăng stress</t>
    </r>
  </si>
  <si>
    <r>
      <t>70–90%</t>
    </r>
    <r>
      <rPr>
        <sz val="11"/>
        <color theme="1"/>
        <rFont val="Calibri Light"/>
        <family val="1"/>
        <scheme val="major"/>
      </rPr>
      <t>; chuồng ẩm, bẩn, thông thoáng kém</t>
    </r>
  </si>
  <si>
    <r>
      <t>20–30°C</t>
    </r>
    <r>
      <rPr>
        <sz val="11"/>
        <color theme="1"/>
        <rFont val="Calibri Light"/>
        <family val="1"/>
        <scheme val="major"/>
      </rPr>
      <t>; thời tiết nóng ẩm hoặc thay đổi đột ngột làm giảm sức đề kháng</t>
    </r>
  </si>
  <si>
    <r>
      <t>70–90%</t>
    </r>
    <r>
      <rPr>
        <sz val="11"/>
        <color theme="1"/>
        <rFont val="Calibri Light"/>
        <family val="1"/>
        <scheme val="major"/>
      </rPr>
      <t>; nền chuồng ẩm, phân và chất độn chuồng bẩn</t>
    </r>
  </si>
  <si>
    <r>
      <t xml:space="preserve">Quanh năm; thường tăng vào </t>
    </r>
    <r>
      <rPr>
        <b/>
        <sz val="11"/>
        <color theme="1"/>
        <rFont val="Calibri Light"/>
        <family val="1"/>
        <scheme val="major"/>
      </rPr>
      <t>đông – xuân</t>
    </r>
    <r>
      <rPr>
        <sz val="11"/>
        <color theme="1"/>
        <rFont val="Calibri Light"/>
        <family val="1"/>
        <scheme val="major"/>
      </rPr>
      <t>, lúc giao mùa, mưa rét, đàn chưa tiêm phòng</t>
    </r>
  </si>
  <si>
    <r>
      <t>18–25°C</t>
    </r>
    <r>
      <rPr>
        <sz val="11"/>
        <color theme="1"/>
        <rFont val="Calibri Light"/>
        <family val="1"/>
        <scheme val="major"/>
      </rPr>
      <t>; virus tồn tại tốt hơn trong thời tiết mát, lạnh</t>
    </r>
  </si>
  <si>
    <r>
      <t>70–90%</t>
    </r>
    <r>
      <rPr>
        <sz val="11"/>
        <color theme="1"/>
        <rFont val="Calibri Light"/>
        <family val="1"/>
        <scheme val="major"/>
      </rPr>
      <t>; chuồng ẩm, vệ sinh kém</t>
    </r>
  </si>
  <si>
    <r>
      <t>25–30°C</t>
    </r>
    <r>
      <rPr>
        <sz val="11"/>
        <color theme="1"/>
        <rFont val="Calibri Light"/>
        <family val="1"/>
        <scheme val="major"/>
      </rPr>
      <t>; nóng ẩm hoặc thay đổi thời tiết đột ngột thuận lợi cho bệnh bùng phát</t>
    </r>
  </si>
  <si>
    <r>
      <t>75–90%</t>
    </r>
    <r>
      <rPr>
        <sz val="11"/>
        <color theme="1"/>
        <rFont val="Calibri Light"/>
        <family val="1"/>
        <scheme val="major"/>
      </rPr>
      <t>; chuồng ẩm thấp, bẩn</t>
    </r>
  </si>
  <si>
    <r>
      <t xml:space="preserve">Quanh năm; thường biểu hiện ở gà từ </t>
    </r>
    <r>
      <rPr>
        <b/>
        <sz val="11"/>
        <color theme="1"/>
        <rFont val="Calibri Light"/>
        <family val="1"/>
        <scheme val="major"/>
      </rPr>
      <t>6 tuần tuổi trở lên</t>
    </r>
    <r>
      <rPr>
        <sz val="11"/>
        <color theme="1"/>
        <rFont val="Calibri Light"/>
        <family val="1"/>
        <scheme val="major"/>
      </rPr>
      <t>, phổ biến ở gà hậu bị, gà đẻ</t>
    </r>
  </si>
  <si>
    <r>
      <t>20–30°C</t>
    </r>
    <r>
      <rPr>
        <sz val="11"/>
        <color theme="1"/>
        <rFont val="Calibri Light"/>
        <family val="1"/>
        <scheme val="major"/>
      </rPr>
      <t>; virus tồn tại lâu trong bụi, vảy da, chất độn chuồng</t>
    </r>
  </si>
  <si>
    <r>
      <t>60–80%</t>
    </r>
    <r>
      <rPr>
        <sz val="11"/>
        <color theme="1"/>
        <rFont val="Calibri Light"/>
        <family val="1"/>
        <scheme val="major"/>
      </rPr>
      <t>; chuồng khô bụi hoặc ẩm bẩn đều làm tăng nguy cơ tồn lưu mầm bệnh</t>
    </r>
  </si>
  <si>
    <r>
      <t xml:space="preserve">Thường tăng vào </t>
    </r>
    <r>
      <rPr>
        <b/>
        <sz val="11"/>
        <color theme="1"/>
        <rFont val="Calibri Light"/>
        <family val="1"/>
        <scheme val="major"/>
      </rPr>
      <t>mùa xuân – hè, mùa mưa</t>
    </r>
    <r>
      <rPr>
        <sz val="11"/>
        <color theme="1"/>
        <rFont val="Calibri Light"/>
        <family val="1"/>
        <scheme val="major"/>
      </rPr>
      <t>, khi muỗi, dĩn, côn trùng hút máu phát triển</t>
    </r>
  </si>
  <si>
    <r>
      <t>25–30°C</t>
    </r>
    <r>
      <rPr>
        <sz val="11"/>
        <color theme="1"/>
        <rFont val="Calibri Light"/>
        <family val="1"/>
        <scheme val="major"/>
      </rPr>
      <t>; nóng ẩm thuận lợi cho véc tơ truyền bệnh</t>
    </r>
  </si>
  <si>
    <r>
      <t>75–90%</t>
    </r>
    <r>
      <rPr>
        <sz val="11"/>
        <color theme="1"/>
        <rFont val="Calibri Light"/>
        <family val="1"/>
        <scheme val="major"/>
      </rPr>
      <t>; mưa ẩm, ao tù nước đọng, nhiều côn trùng</t>
    </r>
  </si>
  <si>
    <r>
      <t xml:space="preserve">Do </t>
    </r>
    <r>
      <rPr>
        <i/>
        <sz val="11"/>
        <color theme="1"/>
        <rFont val="Calibri Light"/>
        <family val="1"/>
        <scheme val="major"/>
      </rPr>
      <t>Leucocytozoon</t>
    </r>
    <r>
      <rPr>
        <sz val="11"/>
        <color theme="1"/>
        <rFont val="Calibri Light"/>
        <family val="1"/>
        <scheme val="major"/>
      </rPr>
      <t xml:space="preserve"> spp.; truyền qua muỗi, dĩn, côn trùng hút máu; gà sốt, thiếu máu, xù lông, giảm ăn</t>
    </r>
  </si>
  <si>
    <r>
      <t xml:space="preserve">Quanh năm; tăng vào </t>
    </r>
    <r>
      <rPr>
        <b/>
        <sz val="11"/>
        <color theme="1"/>
        <rFont val="Calibri Light"/>
        <family val="1"/>
        <scheme val="major"/>
      </rPr>
      <t>mùa mưa, nóng ẩm</t>
    </r>
    <r>
      <rPr>
        <sz val="11"/>
        <color theme="1"/>
        <rFont val="Calibri Light"/>
        <family val="1"/>
        <scheme val="major"/>
      </rPr>
      <t>, khi muỗi và côn trùng hút máu nhiều</t>
    </r>
  </si>
  <si>
    <r>
      <t>25–30°C</t>
    </r>
    <r>
      <rPr>
        <sz val="11"/>
        <color theme="1"/>
        <rFont val="Calibri Light"/>
        <family val="1"/>
        <scheme val="major"/>
      </rPr>
      <t>; nóng ẩm thuận lợi cho muỗi truyền bệnh</t>
    </r>
  </si>
  <si>
    <r>
      <t>70–90%</t>
    </r>
    <r>
      <rPr>
        <sz val="11"/>
        <color theme="1"/>
        <rFont val="Calibri Light"/>
        <family val="1"/>
        <scheme val="major"/>
      </rPr>
      <t>; ẩm cao, ao tù nước đọng, nhiều muỗi</t>
    </r>
  </si>
  <si>
    <r>
      <t>18–25°C</t>
    </r>
    <r>
      <rPr>
        <sz val="11"/>
        <color theme="1"/>
        <rFont val="Calibri Light"/>
        <family val="1"/>
        <scheme val="major"/>
      </rPr>
      <t>; bệnh dễ nặng khi lạnh đột ngột hoặc chênh lệch nhiệt độ ngày đêm lớn</t>
    </r>
  </si>
  <si>
    <r>
      <t>70–85%</t>
    </r>
    <r>
      <rPr>
        <sz val="11"/>
        <color theme="1"/>
        <rFont val="Calibri Light"/>
        <family val="1"/>
        <scheme val="major"/>
      </rPr>
      <t>, chuồng ẩm, thông thoáng kém</t>
    </r>
  </si>
  <si>
    <r>
      <t>18–24°C</t>
    </r>
    <r>
      <rPr>
        <sz val="11"/>
        <color theme="1"/>
        <rFont val="Calibri Light"/>
        <family val="1"/>
        <scheme val="major"/>
      </rPr>
      <t>; nhiệt độ thấp làm tăng nguy cơ nhiễm và biểu hiện bệnh</t>
    </r>
  </si>
  <si>
    <r>
      <t>70–85%</t>
    </r>
    <r>
      <rPr>
        <sz val="11"/>
        <color theme="1"/>
        <rFont val="Calibri Light"/>
        <family val="1"/>
        <scheme val="major"/>
      </rPr>
      <t>, mưa ẩm, chuồng kín, thông gió kém</t>
    </r>
  </si>
  <si>
    <r>
      <t xml:space="preserve">Mật độ cao, bụi, khí độc, nuôi liên tục không sát trùng tốt; mưa nhiều làm tăng khả năng phát hiện </t>
    </r>
    <r>
      <rPr>
        <i/>
        <sz val="11"/>
        <color theme="1"/>
        <rFont val="Calibri Light"/>
        <family val="1"/>
        <scheme val="major"/>
      </rPr>
      <t>Mycoplasma hyopneumoniae</t>
    </r>
  </si>
  <si>
    <r>
      <t>18–25°C</t>
    </r>
    <r>
      <rPr>
        <sz val="11"/>
        <color theme="1"/>
        <rFont val="Calibri Light"/>
        <family val="1"/>
        <scheme val="major"/>
      </rPr>
      <t>; thời tiết lạnh, chuyển mùa làm tăng stress và bệnh hô hấp</t>
    </r>
  </si>
  <si>
    <r>
      <t xml:space="preserve">Thường tăng vào </t>
    </r>
    <r>
      <rPr>
        <b/>
        <sz val="11"/>
        <color theme="1"/>
        <rFont val="Calibri Light"/>
        <family val="1"/>
        <scheme val="major"/>
      </rPr>
      <t>mùa thu – đông, đông – xuân</t>
    </r>
    <r>
      <rPr>
        <sz val="11"/>
        <color theme="1"/>
        <rFont val="Calibri Light"/>
        <family val="1"/>
        <scheme val="major"/>
      </rPr>
      <t>; có thể xuất hiện quanh năm trong trại chăn nuôi tập trung</t>
    </r>
  </si>
  <si>
    <r>
      <t>15–25°C</t>
    </r>
    <r>
      <rPr>
        <sz val="11"/>
        <color theme="1"/>
        <rFont val="Calibri Light"/>
        <family val="1"/>
        <scheme val="major"/>
      </rPr>
      <t>, thời tiết lạnh hoặc thay đổi nhiệt độ đột ngột thuận lợi cho lây qua hô hấp</t>
    </r>
  </si>
  <si>
    <r>
      <t>70–90%</t>
    </r>
    <r>
      <rPr>
        <sz val="11"/>
        <color theme="1"/>
        <rFont val="Calibri Light"/>
        <family val="1"/>
        <scheme val="major"/>
      </rPr>
      <t>, chuồng kín, ẩm, thông gió kém</t>
    </r>
  </si>
  <si>
    <r>
      <t>18–25°C</t>
    </r>
    <r>
      <rPr>
        <sz val="11"/>
        <color theme="1"/>
        <rFont val="Calibri Light"/>
        <family val="1"/>
        <scheme val="major"/>
      </rPr>
      <t>; lợn con bị lạnh, nhiệt độ chuồng úm không phù hợp dễ mắc bệnh</t>
    </r>
  </si>
  <si>
    <r>
      <t>75–90%</t>
    </r>
    <r>
      <rPr>
        <sz val="11"/>
        <color theme="1"/>
        <rFont val="Calibri Light"/>
        <family val="1"/>
        <scheme val="major"/>
      </rPr>
      <t>, nền chuồng ướt, ẩm, vệ sinh kém</t>
    </r>
  </si>
  <si>
    <r>
      <t xml:space="preserve">Thường gặp ở lợn con </t>
    </r>
    <r>
      <rPr>
        <b/>
        <sz val="11"/>
        <color theme="1"/>
        <rFont val="Calibri Light"/>
        <family val="1"/>
        <scheme val="major"/>
      </rPr>
      <t>1–2 tuần sau cai sữa</t>
    </r>
  </si>
  <si>
    <r>
      <t>20–28°C</t>
    </r>
    <r>
      <rPr>
        <sz val="11"/>
        <color theme="1"/>
        <rFont val="Calibri Light"/>
        <family val="1"/>
        <scheme val="major"/>
      </rPr>
      <t>; thay đổi nhiệt độ đột ngột làm tăng stress sau cai sữa</t>
    </r>
  </si>
  <si>
    <r>
      <t>70–85%</t>
    </r>
    <r>
      <rPr>
        <sz val="11"/>
        <color theme="1"/>
        <rFont val="Calibri Light"/>
        <family val="1"/>
        <scheme val="major"/>
      </rPr>
      <t>, chuồng ẩm, vệ sinh kém</t>
    </r>
  </si>
  <si>
    <r>
      <t xml:space="preserve">Do chủng </t>
    </r>
    <r>
      <rPr>
        <i/>
        <sz val="11"/>
        <color theme="1"/>
        <rFont val="Calibri Light"/>
        <family val="1"/>
        <scheme val="major"/>
      </rPr>
      <t>E. coli</t>
    </r>
    <r>
      <rPr>
        <sz val="11"/>
        <color theme="1"/>
        <rFont val="Calibri Light"/>
        <family val="1"/>
        <scheme val="major"/>
      </rPr>
      <t xml:space="preserve"> sinh độc tố; liên quan đến thay đổi khẩu phần đột ngột, thức ăn giàu đạm/năng lượng, stress cai sữa</t>
    </r>
  </si>
  <si>
    <r>
      <t>25–30°C</t>
    </r>
    <r>
      <rPr>
        <sz val="11"/>
        <color theme="1"/>
        <rFont val="Calibri Light"/>
        <family val="1"/>
        <scheme val="major"/>
      </rPr>
      <t>, thời tiết nóng ẩm thuận lợi</t>
    </r>
  </si>
  <si>
    <r>
      <t>75–90%</t>
    </r>
    <r>
      <rPr>
        <sz val="11"/>
        <color theme="1"/>
        <rFont val="Calibri Light"/>
        <family val="1"/>
        <scheme val="major"/>
      </rPr>
      <t>, chuồng ẩm bẩn</t>
    </r>
  </si>
  <si>
    <r>
      <t>20–30°C</t>
    </r>
    <r>
      <rPr>
        <sz val="11"/>
        <color theme="1"/>
        <rFont val="Calibri Light"/>
        <family val="1"/>
        <scheme val="major"/>
      </rPr>
      <t>; thay đổi nhiệt độ đột ngột làm giảm sức đề kháng</t>
    </r>
  </si>
  <si>
    <r>
      <t>75–90%</t>
    </r>
    <r>
      <rPr>
        <sz val="11"/>
        <color theme="1"/>
        <rFont val="Calibri Light"/>
        <family val="1"/>
        <scheme val="major"/>
      </rPr>
      <t>, chuồng ẩm, bẩn</t>
    </r>
  </si>
  <si>
    <r>
      <t xml:space="preserve">Ở Việt Nam thường có tính mùa, tăng từ </t>
    </r>
    <r>
      <rPr>
        <b/>
        <sz val="11"/>
        <color theme="1"/>
        <rFont val="Calibri Light"/>
        <family val="1"/>
        <scheme val="major"/>
      </rPr>
      <t>tháng 4–10</t>
    </r>
    <r>
      <rPr>
        <sz val="11"/>
        <color theme="1"/>
        <rFont val="Calibri Light"/>
        <family val="1"/>
        <scheme val="major"/>
      </rPr>
      <t xml:space="preserve">, cao nhất khoảng </t>
    </r>
    <r>
      <rPr>
        <b/>
        <sz val="11"/>
        <color theme="1"/>
        <rFont val="Calibri Light"/>
        <family val="1"/>
        <scheme val="major"/>
      </rPr>
      <t>tháng 6</t>
    </r>
    <r>
      <rPr>
        <sz val="11"/>
        <color theme="1"/>
        <rFont val="Calibri Light"/>
        <family val="1"/>
        <scheme val="major"/>
      </rPr>
      <t>; liên quan mùa muỗi</t>
    </r>
  </si>
  <si>
    <r>
      <t>25–30°C</t>
    </r>
    <r>
      <rPr>
        <sz val="11"/>
        <color theme="1"/>
        <rFont val="Calibri Light"/>
        <family val="1"/>
        <scheme val="major"/>
      </rPr>
      <t>, thời tiết nóng ẩm thuận lợi cho muỗi truyền bệnh phát triển</t>
    </r>
  </si>
  <si>
    <r>
      <t>75–90%</t>
    </r>
    <r>
      <rPr>
        <sz val="11"/>
        <color theme="1"/>
        <rFont val="Calibri Light"/>
        <family val="1"/>
        <scheme val="major"/>
      </rPr>
      <t>, mưa nhiều, ẩm cao</t>
    </r>
  </si>
  <si>
    <r>
      <t xml:space="preserve">Quanh năm; thường dễ bùng phát vào </t>
    </r>
    <r>
      <rPr>
        <b/>
        <sz val="11"/>
        <color theme="1"/>
        <rFont val="Calibri Light"/>
        <family val="1"/>
        <scheme val="major"/>
      </rPr>
      <t>đông – xuân</t>
    </r>
    <r>
      <rPr>
        <sz val="11"/>
        <color theme="1"/>
        <rFont val="Calibri Light"/>
        <family val="1"/>
        <scheme val="major"/>
      </rPr>
      <t>, khi thời tiết mát ẩm và vận chuyển gia súc nhiều</t>
    </r>
  </si>
  <si>
    <r>
      <t>15–25°C</t>
    </r>
    <r>
      <rPr>
        <sz val="11"/>
        <color theme="1"/>
        <rFont val="Calibri Light"/>
        <family val="1"/>
        <scheme val="major"/>
      </rPr>
      <t>, virus tồn tại tốt hơn trong điều kiện mát</t>
    </r>
  </si>
  <si>
    <r>
      <t>70–90%</t>
    </r>
    <r>
      <rPr>
        <sz val="11"/>
        <color theme="1"/>
        <rFont val="Calibri Light"/>
        <family val="1"/>
        <scheme val="major"/>
      </rPr>
      <t>, ẩm cao giúp virus tồn tại lâu hơn trong môi trường</t>
    </r>
  </si>
  <si>
    <r>
      <t>25–35°C</t>
    </r>
    <r>
      <rPr>
        <sz val="11"/>
        <color theme="1"/>
        <rFont val="Calibri Light"/>
        <family val="1"/>
        <scheme val="major"/>
      </rPr>
      <t>, thời tiết nóng ẩm, thay đổi đột ngột</t>
    </r>
  </si>
  <si>
    <r>
      <t>75–95%</t>
    </r>
    <r>
      <rPr>
        <sz val="11"/>
        <color theme="1"/>
        <rFont val="Calibri Light"/>
        <family val="1"/>
        <scheme val="major"/>
      </rPr>
      <t>, mùa mưa, chuồng ẩm thấp</t>
    </r>
  </si>
  <si>
    <r>
      <t xml:space="preserve">- CABI. (2022). </t>
    </r>
    <r>
      <rPr>
        <i/>
        <sz val="11"/>
        <color theme="1"/>
        <rFont val="Calibri Light"/>
        <family val="1"/>
        <scheme val="major"/>
      </rPr>
      <t>Spodoptera litura</t>
    </r>
    <r>
      <rPr>
        <sz val="11"/>
        <color theme="1"/>
        <rFont val="Calibri Light"/>
        <family val="1"/>
        <scheme val="major"/>
      </rPr>
      <t>. CABI Compendium.</t>
    </r>
  </si>
  <si>
    <t>Tối thấp (°C)</t>
  </si>
  <si>
    <t>Tối cao (°C)</t>
  </si>
  <si>
    <t>Tối thích (°C)</t>
  </si>
  <si>
    <t>Lượng mưa thích hợp (mm)</t>
  </si>
  <si>
    <t>50-80</t>
  </si>
  <si>
    <t>80-100</t>
  </si>
  <si>
    <t>60-90</t>
  </si>
  <si>
    <t>50-70</t>
  </si>
  <si>
    <t>&lt;30</t>
  </si>
  <si>
    <t>80-90</t>
  </si>
  <si>
    <t>70-85</t>
  </si>
  <si>
    <t>60-70</t>
  </si>
  <si>
    <t>Điều kiện thời tiết</t>
  </si>
  <si>
    <t>Tài liệu tập huận và hướng dẫn thực hành về khí hậu nông nghiệp cho nông dân</t>
  </si>
  <si>
    <t>Ốc bươu vàng</t>
  </si>
  <si>
    <t>Sâu đục thân 2 chấm</t>
  </si>
  <si>
    <t>bệnh bạc lá</t>
  </si>
  <si>
    <t>bệnh thối nhũn</t>
  </si>
  <si>
    <t>bệnh phấn trắng</t>
  </si>
  <si>
    <t>Bệnh đốm vòng</t>
  </si>
  <si>
    <t>Sâu đục quả</t>
  </si>
  <si>
    <t>Bọ rầy dưa</t>
  </si>
  <si>
    <t>Dòi đục lá</t>
  </si>
  <si>
    <t>Sâu về bùa</t>
  </si>
  <si>
    <t>Lờ cổ rễ</t>
  </si>
  <si>
    <t>phấn trắng</t>
  </si>
  <si>
    <t>Bệnh héo rũ</t>
  </si>
  <si>
    <t>bọ trĩ</t>
  </si>
  <si>
    <t>Bệnh gỉ sắt</t>
  </si>
  <si>
    <t>Rệp</t>
  </si>
  <si>
    <t>Bệnh đốm lá</t>
  </si>
  <si>
    <t>Bênh phấn trắng</t>
  </si>
  <si>
    <t>Bọ nhảy</t>
  </si>
  <si>
    <t>Giai đoạn trải lá bàng (phát triển thân lá)</t>
  </si>
  <si>
    <t>Giai đoạn cụm hoa lơ (hình thành hoa)</t>
  </si>
  <si>
    <t xml:space="preserve">Giai đoạn nảy mầm </t>
  </si>
  <si>
    <r>
      <t xml:space="preserve">28-35 </t>
    </r>
    <r>
      <rPr>
        <b/>
        <sz val="11"/>
        <color theme="1"/>
        <rFont val="Calibri"/>
        <family val="2"/>
        <scheme val="minor"/>
      </rPr>
      <t>°C</t>
    </r>
  </si>
  <si>
    <t>&gt;90%</t>
  </si>
  <si>
    <t>Mưa gián đoạn, nhiều mây</t>
  </si>
  <si>
    <t>https://pmc.ncbi.nlm.nih.gov/articles/PMC3724978/?utm_source=chatgpt.com</t>
  </si>
  <si>
    <t>bài Ấn độ</t>
  </si>
  <si>
    <t>25-30 °C</t>
  </si>
  <si>
    <t>Ốc phát triển tốt ở ruộng ngập nước, ao hồ, kênh mương và môi trường có độ ẩm cao</t>
  </si>
  <si>
    <t>&gt;80%</t>
  </si>
  <si>
    <t>Trời âm u, ít nắng. Có sương mù hoặc mưa phùn. Ruộng trồng dày, thiếu thông thoáng.Bón thừa đạm làm tán lá rậm rạp</t>
  </si>
  <si>
    <t>&gt;85%</t>
  </si>
  <si>
    <t>20-25 °C</t>
  </si>
  <si>
    <t>https://nongnghieppho.vn/blogs/cay-rau/mot-so-sau-benh-hai-pho-bien-tren-cay-rau-ho-cai?utm_source=chatgpt.com</t>
  </si>
  <si>
    <t>27–32°C</t>
  </si>
  <si>
    <t>Độ ẩm thấp trung bình, thời tiết khô</t>
  </si>
  <si>
    <t>https://abachemical.com/benh-dom-vong-tren-bap-cai/?utm_source=chatgpt.com</t>
  </si>
  <si>
    <t>22-25</t>
  </si>
  <si>
    <t>80-90%</t>
  </si>
  <si>
    <t>Xảy ra vào mùa mưa (tháng 5-10) Vườn rậm rạp, mật độ trồng dày (&gt;30.000 cây/ha), thiếu ánh sáng, cỏ dại, tàn dư thực vật là nơi nấm trú ẩn. Hạt giống nhiễm bệnh, đất thiếu dinh dưỡng, cây yếu dễ bị nấm xâm nhập.</t>
  </si>
  <si>
    <t>https://plantix.net/en/library/plant-diseases/100334/white-rust/?utm_source=chatgpt.com</t>
  </si>
  <si>
    <t>13-25</t>
  </si>
  <si>
    <t>Mưa nhiều, sương mù, thời tiết ẩm, lá bị đọng nước</t>
  </si>
  <si>
    <t>https://extension.usu.edu/planthealth/research/aphid-pests-on-vegetables?utm_source=chatgpt.com</t>
  </si>
  <si>
    <t>50–70%</t>
  </si>
  <si>
    <t>20-27</t>
  </si>
  <si>
    <t>Thời tiết mát ẩm, ít mưa lớn và nhiều lá con</t>
  </si>
  <si>
    <t>30–35 °C</t>
  </si>
  <si>
    <t>60–83%</t>
  </si>
  <si>
    <t>https://www.mdpi.com/2075-4450/16/4/355?utm_source=chatgpt.com</t>
  </si>
  <si>
    <t>Mưa ẩm, nhiều lá non, ruộng rậm</t>
  </si>
  <si>
    <t>https://kyushu-u.elsevierpure.com/en/publications/temperature-effects-on-the-development-of-vietnamese-cotton-bollw/?utm_source=chatgpt.com</t>
  </si>
  <si>
    <t>Nóng ẩm, nhiều quả non, ruộng rậm</t>
  </si>
  <si>
    <t>Nhiệt độ và độ ẩm cao</t>
  </si>
  <si>
    <t>65–85%</t>
  </si>
  <si>
    <t>Thấp – trung bình</t>
  </si>
  <si>
    <t>https://ipm.illinois.edu/diseases/series600/rpd650/rpd650.htm?utm_source=chatgpt.com</t>
  </si>
  <si>
    <t>24-32</t>
  </si>
  <si>
    <t>Độ ẩm đất và nhiệt độ cao</t>
  </si>
  <si>
    <r>
      <rPr>
        <b/>
        <sz val="11"/>
        <color rgb="FFFF0000"/>
        <rFont val="Calibri"/>
        <family val="2"/>
        <scheme val="minor"/>
      </rPr>
      <t xml:space="preserve"> ( tháng 9-1)</t>
    </r>
    <r>
      <rPr>
        <sz val="11"/>
        <color theme="1"/>
        <rFont val="Calibri"/>
        <family val="2"/>
        <scheme val="minor"/>
      </rPr>
      <t>: Gieo hạt 15/9-5/10/2025, thu hoạch 10/1-30/1/2026</t>
    </r>
  </si>
  <si>
    <t>T9.2 - T10.1</t>
  </si>
  <si>
    <t>T1.1-T1.3</t>
  </si>
  <si>
    <t>T2.2-T2.3</t>
  </si>
  <si>
    <r>
      <t>Vụ chính Tháng 9 -2</t>
    </r>
    <r>
      <rPr>
        <b/>
        <sz val="11"/>
        <color theme="1"/>
        <rFont val="Calibri Light"/>
        <family val="1"/>
        <scheme val="major"/>
      </rPr>
      <t>  (gieo hạt 5/9-30/9/2025 thu hoạch 15/1-5/2/2026)</t>
    </r>
  </si>
  <si>
    <t>T9.2-T10.1</t>
  </si>
  <si>
    <t>Giai đoạn thu hoạch</t>
  </si>
  <si>
    <t>Giai đoạn phân hóa mầm hoa</t>
  </si>
  <si>
    <t>Thời gian (Sau gieo)</t>
  </si>
  <si>
    <t>T2.1 -T2.2</t>
  </si>
  <si>
    <t>T3.1-T3.2</t>
  </si>
  <si>
    <t>T3.2-T4.1</t>
  </si>
  <si>
    <r>
      <rPr>
        <b/>
        <sz val="11"/>
        <color rgb="FFFF0000"/>
        <rFont val="Calibri Light"/>
        <family val="2"/>
        <scheme val="major"/>
      </rPr>
      <t>Vụ tháng 2-5</t>
    </r>
    <r>
      <rPr>
        <b/>
        <sz val="11"/>
        <color theme="1"/>
        <rFont val="Calibri Light"/>
        <family val="2"/>
        <scheme val="major"/>
      </rPr>
      <t xml:space="preserve"> gieo hạt 10/2-25/2/2026, thu hoạch 2/5-30/5/2026</t>
    </r>
  </si>
  <si>
    <t>T5.1-T5.3</t>
  </si>
  <si>
    <t>Vụ lúa Đông xuân</t>
  </si>
  <si>
    <t>Gieo hạt</t>
  </si>
  <si>
    <t>10 - 20/01/2026</t>
  </si>
  <si>
    <t>20/5 - 10/6/2026</t>
  </si>
  <si>
    <t>20/6 - 15/7/2026</t>
  </si>
  <si>
    <t>15 - 25/9/2026</t>
  </si>
  <si>
    <t>15 -20/10/2026</t>
  </si>
  <si>
    <t>05 - 10/11/2026</t>
  </si>
  <si>
    <t>01/3-15/3/2026</t>
  </si>
  <si>
    <t>01/7-15/7/2026</t>
  </si>
  <si>
    <t>15/10-30/10/2026</t>
  </si>
  <si>
    <t>15/6-30/6 /2026</t>
  </si>
  <si>
    <t>25/01-15/2//2026</t>
  </si>
  <si>
    <t>25/6 - 10/7/2026</t>
  </si>
  <si>
    <t>5-15/12/2025</t>
  </si>
  <si>
    <t>05/6 - 10/6</t>
  </si>
  <si>
    <t>20/6 -25/6</t>
  </si>
  <si>
    <t>5/7 -20/7</t>
  </si>
  <si>
    <t>10-.15/6/2026</t>
  </si>
  <si>
    <r>
      <t xml:space="preserve">Vụ Đông Xuân </t>
    </r>
    <r>
      <rPr>
        <b/>
        <sz val="12"/>
        <color rgb="FFFF0000"/>
        <rFont val="Times New Roman"/>
        <family val="1"/>
      </rPr>
      <t>(Trà xuân sớm)</t>
    </r>
  </si>
  <si>
    <r>
      <t xml:space="preserve">Vụ Đông Xuân </t>
    </r>
    <r>
      <rPr>
        <b/>
        <sz val="12"/>
        <color rgb="FFFF0000"/>
        <rFont val="Times New Roman"/>
        <family val="1"/>
      </rPr>
      <t>(Trà xuân muộn)</t>
    </r>
  </si>
  <si>
    <r>
      <t xml:space="preserve">Vụ mùa </t>
    </r>
    <r>
      <rPr>
        <sz val="12"/>
        <color rgb="FFFF0000"/>
        <rFont val="Times New Roman"/>
        <family val="1"/>
      </rPr>
      <t>(Trà mùa sớm)</t>
    </r>
  </si>
  <si>
    <r>
      <t xml:space="preserve">Vụ mùa </t>
    </r>
    <r>
      <rPr>
        <b/>
        <sz val="12"/>
        <color rgb="FFFF0000"/>
        <rFont val="Times New Roman"/>
        <family val="1"/>
      </rPr>
      <t>(Trà mùa trung)</t>
    </r>
  </si>
  <si>
    <r>
      <t>Vụ mùa</t>
    </r>
    <r>
      <rPr>
        <b/>
        <sz val="12"/>
        <color rgb="FFFF0000"/>
        <rFont val="Times New Roman"/>
        <family val="1"/>
      </rPr>
      <t>(Trà mùa muộn)</t>
    </r>
  </si>
  <si>
    <t>20–35 ngày</t>
  </si>
  <si>
    <t>T2.1-T2.3</t>
  </si>
  <si>
    <t>25– 30 ngày</t>
  </si>
  <si>
    <t>30-40 ngày</t>
  </si>
  <si>
    <t>25-30 ngày</t>
  </si>
  <si>
    <t>T3.3-T4.1</t>
  </si>
  <si>
    <t>T4.2-T5.1</t>
  </si>
  <si>
    <t>T12.3-T1.1</t>
  </si>
  <si>
    <t>T1.3-T2.3</t>
  </si>
  <si>
    <t>T2.3-T3.3</t>
  </si>
  <si>
    <t>T3.3-T4.3</t>
  </si>
  <si>
    <t>T4.3-T6.1</t>
  </si>
  <si>
    <t>T1.3-T2.1</t>
  </si>
  <si>
    <t>T5.2-T6.1</t>
  </si>
  <si>
    <t>T6.1-T7.1</t>
  </si>
  <si>
    <t>T4.2-T5.2</t>
  </si>
  <si>
    <t>T2.3-T4.2</t>
  </si>
  <si>
    <t>T5.3-T6.1</t>
  </si>
  <si>
    <t>T6.1-T6.3</t>
  </si>
  <si>
    <t>T6.1- T6.2</t>
  </si>
  <si>
    <t>T6.2-T7.1</t>
  </si>
  <si>
    <t>T7.1-T7.3</t>
  </si>
  <si>
    <t>T7.3-T8.3</t>
  </si>
  <si>
    <t>T8.3-T9.1</t>
  </si>
  <si>
    <t>T9.1-T9.3</t>
  </si>
  <si>
    <t>T6.3-T7.1</t>
  </si>
  <si>
    <t>T8.3-T9.3</t>
  </si>
  <si>
    <t>T9.3-T10.1</t>
  </si>
  <si>
    <t>T10.1-T10.3</t>
  </si>
  <si>
    <t>18–20 ngày</t>
  </si>
  <si>
    <t>T10.1-T11.1</t>
  </si>
  <si>
    <t>Thời vụ</t>
  </si>
  <si>
    <t>10-15/6/2026</t>
  </si>
  <si>
    <t>T12.1-T1.3</t>
  </si>
  <si>
    <t>T11.2-T12.1</t>
  </si>
  <si>
    <t>T2.3-T3.2</t>
  </si>
  <si>
    <t>T4.1-T4.3</t>
  </si>
  <si>
    <t>T10.1- T10.2</t>
  </si>
  <si>
    <t>T10.2- T11.1</t>
  </si>
  <si>
    <t>T11.1 -T11.3</t>
  </si>
  <si>
    <t>T11.3 -T12.3</t>
  </si>
  <si>
    <t>Giai đoạn ra hoa -đậu quả</t>
  </si>
  <si>
    <r>
      <t xml:space="preserve">Vụ xuân hè tháng 2-4 </t>
    </r>
    <r>
      <rPr>
        <b/>
        <sz val="11"/>
        <color theme="1"/>
        <rFont val="Calibri Light"/>
        <family val="2"/>
        <scheme val="major"/>
      </rPr>
      <t xml:space="preserve">(Gieo hạt 5/2-20/2/2026, thu hoạch 8/4-30/4/2026) </t>
    </r>
    <r>
      <rPr>
        <b/>
        <sz val="11"/>
        <color theme="4"/>
        <rFont val="Calibri Light"/>
        <family val="2"/>
        <scheme val="major"/>
      </rPr>
      <t>thu hoạch từ giai đoạn phát triển quả, thu hoạch trong 1 tháng 1 lần/ngày hoặc 15 lần/1 vụ</t>
    </r>
  </si>
  <si>
    <t>0-7 ngày</t>
  </si>
  <si>
    <r>
      <t>Giai đoạn phát triển quả và thu hoạch (</t>
    </r>
    <r>
      <rPr>
        <b/>
        <sz val="11"/>
        <color theme="4"/>
        <rFont val="Calibri Light"/>
        <family val="2"/>
        <scheme val="major"/>
      </rPr>
      <t>thu quả liên tục)</t>
    </r>
  </si>
  <si>
    <t>T2.2 -T2.3</t>
  </si>
  <si>
    <t>Giai đoạn ra hoa - đậu quả</t>
  </si>
  <si>
    <t>T2.3-T3.1</t>
  </si>
  <si>
    <t>T3.1-T3.3</t>
  </si>
  <si>
    <t>T3.3- T4.1</t>
  </si>
  <si>
    <t>T4.1-T5.3</t>
  </si>
  <si>
    <r>
      <t xml:space="preserve">Giai đoạn phát triển quả và thu hoạch </t>
    </r>
    <r>
      <rPr>
        <b/>
        <sz val="11"/>
        <color theme="4"/>
        <rFont val="Calibri Light"/>
        <family val="2"/>
        <scheme val="major"/>
      </rPr>
      <t>(trong 2 tháng)</t>
    </r>
  </si>
  <si>
    <r>
      <t xml:space="preserve">Vụ thu đông </t>
    </r>
    <r>
      <rPr>
        <b/>
        <sz val="11"/>
        <color theme="1"/>
        <rFont val="Calibri Light"/>
        <family val="2"/>
        <scheme val="major"/>
      </rPr>
      <t xml:space="preserve">( Gieo hạt 20/9-5/10/2026, thu hoạch 15/11-25/12/2026) </t>
    </r>
    <r>
      <rPr>
        <b/>
        <sz val="11"/>
        <color theme="4"/>
        <rFont val="Calibri Light"/>
        <family val="2"/>
        <scheme val="major"/>
      </rPr>
      <t>thu hoạch từ giai đoạn phát triển quả, thu hoạch trong 1 tháng 1 lần/ngày hoặc 15 lần/1 vụ</t>
    </r>
  </si>
  <si>
    <t>Thời gian (sau gieo)</t>
  </si>
  <si>
    <t>5-15 ngày</t>
  </si>
  <si>
    <t>15-30 ngày</t>
  </si>
  <si>
    <t>40-45 ngày</t>
  </si>
  <si>
    <t>50-70 ngày</t>
  </si>
  <si>
    <t>7–20 ngày</t>
  </si>
  <si>
    <t xml:space="preserve">20-45 ngày </t>
  </si>
  <si>
    <t xml:space="preserve">45-90 ngày </t>
  </si>
  <si>
    <t xml:space="preserve">75-120 ngày </t>
  </si>
  <si>
    <t>10-40 ngày</t>
  </si>
  <si>
    <t>40-70 ngày</t>
  </si>
  <si>
    <t>20–45 ngày</t>
  </si>
  <si>
    <t>45–70 ngày</t>
  </si>
  <si>
    <t>70-90 ngày</t>
  </si>
  <si>
    <t>90-120 ngày</t>
  </si>
  <si>
    <t>90-144 ngày</t>
  </si>
  <si>
    <t>Số ngày sinh trưởng (sau gieo)</t>
  </si>
  <si>
    <t>T12.1 -T1.1</t>
  </si>
  <si>
    <t>T1.1-T2.1</t>
  </si>
  <si>
    <r>
      <rPr>
        <b/>
        <sz val="11"/>
        <color rgb="FFFF0000"/>
        <rFont val="Calibri"/>
        <family val="2"/>
        <scheme val="minor"/>
      </rPr>
      <t xml:space="preserve"> ( tháng 11-2)</t>
    </r>
    <r>
      <rPr>
        <sz val="11"/>
        <color theme="1"/>
        <rFont val="Calibri"/>
        <family val="2"/>
        <scheme val="minor"/>
      </rPr>
      <t>: Gieo hạt 01/11-20/11/2025, thu hoạch 10/2-28/2/2026</t>
    </r>
  </si>
  <si>
    <t>T1.1-T1.2</t>
  </si>
  <si>
    <t>T1.2-T3.1</t>
  </si>
  <si>
    <t>T3.3-T4.2</t>
  </si>
  <si>
    <t>T2.1-T2.2</t>
  </si>
  <si>
    <t>T2.2-T3.2</t>
  </si>
  <si>
    <t>T4.1-T5.1</t>
  </si>
  <si>
    <t>T5.1-T6.2</t>
  </si>
  <si>
    <t>90-138 ngày</t>
  </si>
  <si>
    <t>T3.2-T3.3</t>
  </si>
  <si>
    <t>T6.2-T6.3</t>
  </si>
  <si>
    <t>T6.3-T7.2</t>
  </si>
  <si>
    <t>T7.2-T8.2</t>
  </si>
  <si>
    <t>T8.2-T9.2</t>
  </si>
  <si>
    <t>T7.2-T8.1</t>
  </si>
  <si>
    <t>T8.1-T9.1</t>
  </si>
  <si>
    <t>T9.1-T9.2</t>
  </si>
  <si>
    <t>T7.1-T7.2</t>
  </si>
  <si>
    <t>T9.2-T10.2</t>
  </si>
  <si>
    <t>T10.2-T10.3</t>
  </si>
  <si>
    <t>90-100 ngày</t>
  </si>
  <si>
    <t>T8.2-T9.1</t>
  </si>
  <si>
    <t>T9.1-T10.1</t>
  </si>
  <si>
    <t>Số ngày ST (sau gieo trồng)</t>
  </si>
  <si>
    <t>Thời gian (sau gieo trồng)</t>
  </si>
  <si>
    <t>T10.3 -T11.3</t>
  </si>
  <si>
    <t>TT11.3-T12.3</t>
  </si>
  <si>
    <t>T12.3-T1.3</t>
  </si>
  <si>
    <t>T2.1-T3.1</t>
  </si>
  <si>
    <t>T10.1 - T11.1</t>
  </si>
  <si>
    <t>0-10 ngày</t>
  </si>
  <si>
    <t>40-60 ngày</t>
  </si>
  <si>
    <t>60-90 ngày</t>
  </si>
  <si>
    <t>70–120 ngày</t>
  </si>
  <si>
    <t>T11.1- T11.3</t>
  </si>
  <si>
    <t>T11.1-T11.2</t>
  </si>
  <si>
    <r>
      <rPr>
        <b/>
        <sz val="11"/>
        <color rgb="FFFF0000"/>
        <rFont val="Calibri Light"/>
        <family val="1"/>
        <scheme val="major"/>
      </rPr>
      <t xml:space="preserve">Vụ muộn tháng 11-2 </t>
    </r>
    <r>
      <rPr>
        <b/>
        <sz val="11"/>
        <color theme="1"/>
        <rFont val="Calibri Light"/>
        <family val="1"/>
        <scheme val="major"/>
      </rPr>
      <t>( 01/11-20/11/2025, thu hoạch 10/2-28/2/2026)</t>
    </r>
  </si>
  <si>
    <t>T11.2 - T12.1</t>
  </si>
  <si>
    <t>T12.1- T12.3</t>
  </si>
  <si>
    <t>T1.2- T2.3</t>
  </si>
  <si>
    <t xml:space="preserve">Nảy mầm </t>
  </si>
  <si>
    <t>7-20 ngày</t>
  </si>
  <si>
    <t xml:space="preserve">20-40 ngày </t>
  </si>
  <si>
    <t>70-120 ngày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</si>
</sst>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
    <numFmt numFmtId="165" formatCode="0.000"/>
  </numFmts>
  <fonts count="30" x14ac:knownFonts="1">
    <font>
      <sz val="11"/>
      <color theme="1"/>
      <name val="Calibri"/>
      <family val="2"/>
      <scheme val="minor"/>
    </font>
    <font>
      <sz val="11"/>
      <color theme="1"/>
      <name val="Calibri Light"/>
      <family val="1"/>
      <scheme val="major"/>
    </font>
    <font>
      <sz val="11"/>
      <color theme="1"/>
      <name val="Times New Roman"/>
      <family val="1"/>
    </font>
    <font>
      <b/>
      <sz val="11"/>
      <color theme="1"/>
      <name val="Calibri Light"/>
      <family val="1"/>
      <scheme val="major"/>
    </font>
    <font>
      <b/>
      <sz val="11"/>
      <color rgb="FF1F1F1F"/>
      <name val="Calibri Light"/>
      <family val="1"/>
      <scheme val="major"/>
    </font>
    <font>
      <sz val="11"/>
      <color rgb="FF1F1F1F"/>
      <name val="Calibri Light"/>
      <family val="1"/>
      <scheme val="major"/>
    </font>
    <font>
      <sz val="11"/>
      <color rgb="FF1F1F1F"/>
      <name val="Calibri"/>
      <family val="2"/>
      <scheme val="minor"/>
    </font>
    <font>
      <b/>
      <sz val="11"/>
      <color rgb="FF1F1F1F"/>
      <name val="Calibri"/>
      <family val="2"/>
      <scheme val="minor"/>
    </font>
    <font>
      <sz val="12"/>
      <color rgb="FF1B1B1B"/>
      <name val="Calibri Light"/>
      <family val="1"/>
      <scheme val="major"/>
    </font>
    <font>
      <b/>
      <sz val="14"/>
      <color theme="1"/>
      <name val="Calibri Light"/>
      <family val="1"/>
      <scheme val="major"/>
    </font>
    <font>
      <sz val="14"/>
      <color theme="1"/>
      <name val="Calibri Light"/>
      <family val="1"/>
      <scheme val="major"/>
    </font>
    <font>
      <u/>
      <sz val="11"/>
      <color theme="10"/>
      <name val="Calibri"/>
      <family val="2"/>
      <scheme val="minor"/>
    </font>
    <font>
      <sz val="8"/>
      <name val="Calibri"/>
      <family val="2"/>
      <scheme val="minor"/>
    </font>
    <font>
      <b/>
      <sz val="11"/>
      <color rgb="FFFF0000"/>
      <name val="Calibri Light"/>
      <family val="1"/>
      <scheme val="major"/>
    </font>
    <font>
      <u/>
      <sz val="11"/>
      <color theme="10"/>
      <name val="Calibri Light"/>
      <family val="1"/>
      <scheme val="major"/>
    </font>
    <font>
      <sz val="12"/>
      <color theme="1"/>
      <name val="Calibri Light"/>
      <family val="1"/>
      <scheme val="major"/>
    </font>
    <font>
      <sz val="12"/>
      <color rgb="FF2E2E2E"/>
      <name val="Calibri Light"/>
      <family val="1"/>
      <scheme val="major"/>
    </font>
    <font>
      <sz val="12"/>
      <color rgb="FFC0C0C0"/>
      <name val="Calibri Light"/>
      <family val="1"/>
      <scheme val="major"/>
    </font>
    <font>
      <i/>
      <sz val="11"/>
      <color theme="1"/>
      <name val="Calibri Light"/>
      <family val="1"/>
      <scheme val="major"/>
    </font>
    <font>
      <b/>
      <sz val="11"/>
      <color theme="1"/>
      <name val="Calibri Light"/>
      <family val="2"/>
      <scheme val="major"/>
    </font>
    <font>
      <b/>
      <sz val="11"/>
      <color theme="1"/>
      <name val="Calibri"/>
      <family val="2"/>
      <scheme val="minor"/>
    </font>
    <font>
      <b/>
      <sz val="11"/>
      <color rgb="FFFF0000"/>
      <name val="Calibri"/>
      <family val="2"/>
      <scheme val="minor"/>
    </font>
    <font>
      <b/>
      <sz val="11"/>
      <color rgb="FFFF0000"/>
      <name val="Calibri Light"/>
      <family val="2"/>
      <scheme val="major"/>
    </font>
    <font>
      <b/>
      <sz val="12"/>
      <color rgb="FFFF0000"/>
      <name val="Calibri Light"/>
      <family val="2"/>
      <scheme val="major"/>
    </font>
    <font>
      <sz val="12"/>
      <color rgb="FF0A0A0A"/>
      <name val="Arial"/>
      <family val="2"/>
    </font>
    <font>
      <sz val="12"/>
      <color theme="1"/>
      <name val="Times New Roman"/>
      <family val="1"/>
    </font>
    <font>
      <b/>
      <sz val="12"/>
      <color rgb="FF000000"/>
      <name val="Times New Roman"/>
      <family val="1"/>
    </font>
    <font>
      <sz val="12"/>
      <color rgb="FFFF0000"/>
      <name val="Times New Roman"/>
      <family val="1"/>
    </font>
    <font>
      <b/>
      <sz val="12"/>
      <color rgb="FFFF0000"/>
      <name val="Times New Roman"/>
      <family val="1"/>
    </font>
    <font>
      <b/>
      <sz val="11"/>
      <color theme="4"/>
      <name val="Calibri Light"/>
      <family val="2"/>
      <scheme val="major"/>
    </font>
  </fonts>
  <fills count="5">
    <fill>
      <patternFill patternType="none"/>
    </fill>
    <fill>
      <patternFill patternType="gray125"/>
    </fill>
    <fill>
      <patternFill patternType="solid">
        <fgColor rgb="FFFFFF00"/>
        <bgColor indexed="64"/>
      </patternFill>
    </fill>
    <fill>
      <patternFill patternType="solid">
        <fgColor theme="9" tint="0.79998168889431442"/>
        <bgColor indexed="64"/>
      </patternFill>
    </fill>
    <fill>
      <patternFill patternType="solid">
        <fgColor theme="0"/>
        <bgColor indexed="64"/>
      </patternFill>
    </fill>
  </fills>
  <borders count="5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diagonal/>
    </border>
    <border>
      <left style="thin">
        <color indexed="64"/>
      </left>
      <right style="thin">
        <color indexed="64"/>
      </right>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style="medium">
        <color rgb="FF000000"/>
      </left>
      <right/>
      <top style="medium">
        <color rgb="FF000000"/>
      </top>
      <bottom/>
      <diagonal/>
    </border>
    <border>
      <left/>
      <right/>
      <top/>
      <bottom style="medium">
        <color rgb="FF000000"/>
      </bottom>
      <diagonal/>
    </border>
    <border>
      <left/>
      <right style="thin">
        <color indexed="64"/>
      </right>
      <top/>
      <bottom style="medium">
        <color rgb="FF000000"/>
      </bottom>
      <diagonal/>
    </border>
    <border>
      <left style="medium">
        <color rgb="FF000000"/>
      </left>
      <right/>
      <top style="thin">
        <color indexed="64"/>
      </top>
      <bottom/>
      <diagonal/>
    </border>
    <border>
      <left style="medium">
        <color rgb="FF000000"/>
      </left>
      <right/>
      <top/>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bottom/>
      <diagonal/>
    </border>
    <border>
      <left/>
      <right style="medium">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bottom style="thin">
        <color indexed="64"/>
      </bottom>
      <diagonal/>
    </border>
    <border>
      <left style="thin">
        <color indexed="64"/>
      </left>
      <right/>
      <top/>
      <bottom/>
      <diagonal/>
    </border>
    <border>
      <left/>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medium">
        <color indexed="64"/>
      </left>
      <right style="medium">
        <color rgb="FF000000"/>
      </right>
      <top style="medium">
        <color indexed="64"/>
      </top>
      <bottom style="medium">
        <color indexed="64"/>
      </bottom>
      <diagonal/>
    </border>
    <border>
      <left style="medium">
        <color rgb="FF000000"/>
      </left>
      <right style="medium">
        <color rgb="FF000000"/>
      </right>
      <top style="medium">
        <color indexed="64"/>
      </top>
      <bottom style="medium">
        <color indexed="64"/>
      </bottom>
      <diagonal/>
    </border>
    <border>
      <left style="medium">
        <color rgb="FF000000"/>
      </left>
      <right style="medium">
        <color indexed="64"/>
      </right>
      <top style="medium">
        <color indexed="64"/>
      </top>
      <bottom style="medium">
        <color indexed="64"/>
      </bottom>
      <diagonal/>
    </border>
  </borders>
  <cellStyleXfs count="2">
    <xf numFmtId="0" fontId="0" fillId="0" borderId="0"/>
    <xf numFmtId="0" fontId="11" fillId="0" borderId="0" applyNumberFormat="0" applyFill="0" applyBorder="0" applyAlignment="0" applyProtection="0"/>
  </cellStyleXfs>
  <cellXfs count="253">
    <xf numFmtId="0" fontId="0" fillId="0" borderId="0" xfId="0"/>
    <xf numFmtId="0" fontId="0" fillId="0" borderId="0" xfId="0" applyAlignment="1">
      <alignment wrapText="1"/>
    </xf>
    <xf numFmtId="0" fontId="2" fillId="0" borderId="1" xfId="0" applyFont="1" applyBorder="1" applyAlignment="1">
      <alignment horizontal="center" vertical="center" wrapText="1"/>
    </xf>
    <xf numFmtId="0" fontId="2" fillId="0" borderId="1" xfId="0" applyFont="1" applyBorder="1" applyAlignment="1">
      <alignment horizontal="justify" vertical="center" wrapText="1"/>
    </xf>
    <xf numFmtId="0" fontId="3" fillId="0" borderId="1" xfId="0" applyFont="1" applyBorder="1" applyAlignment="1">
      <alignment horizontal="center" vertical="center" wrapText="1"/>
    </xf>
    <xf numFmtId="0" fontId="4" fillId="0" borderId="6" xfId="0" applyFont="1" applyBorder="1" applyAlignment="1">
      <alignment horizontal="right" vertical="center" wrapText="1" indent="1" readingOrder="1"/>
    </xf>
    <xf numFmtId="0" fontId="1" fillId="0" borderId="0" xfId="0" applyFont="1" applyAlignment="1">
      <alignment wrapText="1"/>
    </xf>
    <xf numFmtId="0" fontId="5" fillId="0" borderId="6" xfId="0" applyFont="1" applyBorder="1" applyAlignment="1">
      <alignment horizontal="right" vertical="center" wrapText="1" indent="1" readingOrder="1"/>
    </xf>
    <xf numFmtId="0" fontId="4" fillId="0" borderId="6" xfId="0" applyFont="1" applyBorder="1" applyAlignment="1">
      <alignment horizontal="left" vertical="center" wrapText="1" indent="1" readingOrder="1"/>
    </xf>
    <xf numFmtId="0" fontId="4" fillId="0" borderId="7" xfId="0" applyFont="1" applyBorder="1" applyAlignment="1">
      <alignment horizontal="left" vertical="center" wrapText="1" indent="1" readingOrder="1"/>
    </xf>
    <xf numFmtId="0" fontId="5" fillId="0" borderId="7" xfId="0" applyFont="1" applyBorder="1" applyAlignment="1">
      <alignment horizontal="right" vertical="center" wrapText="1" indent="1" readingOrder="1"/>
    </xf>
    <xf numFmtId="0" fontId="4" fillId="0" borderId="8" xfId="0" applyFont="1" applyBorder="1" applyAlignment="1">
      <alignment vertical="center" wrapText="1" readingOrder="1"/>
    </xf>
    <xf numFmtId="0" fontId="5" fillId="0" borderId="8" xfId="0" applyFont="1" applyBorder="1" applyAlignment="1">
      <alignment vertical="center" wrapText="1" readingOrder="1"/>
    </xf>
    <xf numFmtId="0" fontId="5" fillId="0" borderId="9" xfId="0" applyFont="1" applyBorder="1" applyAlignment="1">
      <alignment vertical="center" wrapText="1" readingOrder="1"/>
    </xf>
    <xf numFmtId="0" fontId="1" fillId="0" borderId="1" xfId="0" applyFont="1" applyBorder="1" applyAlignment="1">
      <alignment horizontal="center" vertical="center" wrapText="1"/>
    </xf>
    <xf numFmtId="0" fontId="7" fillId="0" borderId="6" xfId="0" applyFont="1" applyBorder="1" applyAlignment="1">
      <alignment horizontal="left" vertical="center" wrapText="1" indent="1" readingOrder="1"/>
    </xf>
    <xf numFmtId="0" fontId="7" fillId="0" borderId="6" xfId="0" applyFont="1" applyBorder="1" applyAlignment="1">
      <alignment vertical="center" wrapText="1" readingOrder="1"/>
    </xf>
    <xf numFmtId="0" fontId="6" fillId="0" borderId="6" xfId="0" applyFont="1" applyBorder="1" applyAlignment="1">
      <alignment horizontal="left" vertical="center" wrapText="1" indent="1" readingOrder="1"/>
    </xf>
    <xf numFmtId="0" fontId="6" fillId="0" borderId="6" xfId="0" applyFont="1" applyBorder="1" applyAlignment="1">
      <alignment vertical="center" wrapText="1" readingOrder="1"/>
    </xf>
    <xf numFmtId="0" fontId="4" fillId="0" borderId="1" xfId="0" applyFont="1" applyBorder="1" applyAlignment="1">
      <alignment horizontal="left" vertical="center" wrapText="1" indent="1" readingOrder="1"/>
    </xf>
    <xf numFmtId="0" fontId="4" fillId="0" borderId="1" xfId="0" applyFont="1" applyBorder="1" applyAlignment="1">
      <alignment vertical="center" wrapText="1" readingOrder="1"/>
    </xf>
    <xf numFmtId="49" fontId="5" fillId="0" borderId="1" xfId="0" applyNumberFormat="1" applyFont="1" applyBorder="1" applyAlignment="1">
      <alignment horizontal="left" vertical="center" wrapText="1" indent="1" readingOrder="1"/>
    </xf>
    <xf numFmtId="0" fontId="5" fillId="0" borderId="1" xfId="0" applyFont="1" applyBorder="1" applyAlignment="1">
      <alignment vertical="center" wrapText="1" readingOrder="1"/>
    </xf>
    <xf numFmtId="0" fontId="3" fillId="0" borderId="1" xfId="0" applyFont="1" applyBorder="1" applyAlignment="1">
      <alignment vertical="center" wrapText="1"/>
    </xf>
    <xf numFmtId="0" fontId="1" fillId="0" borderId="1" xfId="0" applyFont="1" applyBorder="1" applyAlignment="1">
      <alignment vertical="center" wrapText="1"/>
    </xf>
    <xf numFmtId="0" fontId="1" fillId="0" borderId="0" xfId="0" applyFont="1"/>
    <xf numFmtId="0" fontId="9" fillId="0" borderId="1" xfId="0" applyFont="1" applyBorder="1" applyAlignment="1">
      <alignment horizontal="center" vertical="center" wrapText="1"/>
    </xf>
    <xf numFmtId="0" fontId="10" fillId="0" borderId="1" xfId="0" applyFont="1" applyBorder="1" applyAlignment="1">
      <alignment horizontal="justify" vertical="center" wrapText="1"/>
    </xf>
    <xf numFmtId="0" fontId="10" fillId="0" borderId="1" xfId="0" applyFont="1" applyBorder="1" applyAlignment="1">
      <alignment horizontal="center" vertical="center" wrapText="1"/>
    </xf>
    <xf numFmtId="0" fontId="1" fillId="0" borderId="1" xfId="0" applyFont="1" applyBorder="1"/>
    <xf numFmtId="0" fontId="1" fillId="0" borderId="0" xfId="0" applyFont="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horizontal="justify" vertical="center" wrapText="1"/>
    </xf>
    <xf numFmtId="0" fontId="0" fillId="0" borderId="0" xfId="0" applyAlignment="1">
      <alignment horizontal="center" vertical="center" wrapText="1"/>
    </xf>
    <xf numFmtId="0" fontId="1" fillId="0" borderId="1" xfId="0" applyFont="1" applyBorder="1" applyAlignment="1">
      <alignment wrapText="1"/>
    </xf>
    <xf numFmtId="0" fontId="1" fillId="3" borderId="0" xfId="0" applyFont="1" applyFill="1" applyAlignment="1">
      <alignment wrapText="1"/>
    </xf>
    <xf numFmtId="0" fontId="3" fillId="0" borderId="1" xfId="0" applyFont="1" applyBorder="1" applyAlignment="1">
      <alignment wrapText="1"/>
    </xf>
    <xf numFmtId="0" fontId="3" fillId="3" borderId="1" xfId="0" applyFont="1" applyFill="1" applyBorder="1" applyAlignment="1">
      <alignment wrapText="1"/>
    </xf>
    <xf numFmtId="0" fontId="3" fillId="3" borderId="1" xfId="0" applyFont="1" applyFill="1" applyBorder="1" applyAlignment="1">
      <alignment horizontal="center" vertical="center" wrapText="1"/>
    </xf>
    <xf numFmtId="0" fontId="1" fillId="0" borderId="1" xfId="0" applyFont="1" applyBorder="1" applyAlignment="1">
      <alignment horizontal="justify" vertical="center" wrapText="1"/>
    </xf>
    <xf numFmtId="164" fontId="1" fillId="0" borderId="1" xfId="0" applyNumberFormat="1" applyFont="1" applyBorder="1" applyAlignment="1">
      <alignment wrapText="1"/>
    </xf>
    <xf numFmtId="0" fontId="1" fillId="3" borderId="1" xfId="0" applyFont="1" applyFill="1" applyBorder="1" applyAlignment="1">
      <alignment wrapText="1"/>
    </xf>
    <xf numFmtId="0" fontId="1" fillId="3" borderId="1" xfId="0" applyFont="1" applyFill="1" applyBorder="1" applyAlignment="1">
      <alignment horizontal="center" vertical="center" wrapText="1"/>
    </xf>
    <xf numFmtId="0" fontId="1" fillId="3" borderId="1" xfId="0" applyFont="1" applyFill="1" applyBorder="1" applyAlignment="1">
      <alignment vertical="center" wrapText="1"/>
    </xf>
    <xf numFmtId="0" fontId="3" fillId="3" borderId="1" xfId="0" applyFont="1" applyFill="1" applyBorder="1" applyAlignment="1">
      <alignment vertical="center" wrapText="1"/>
    </xf>
    <xf numFmtId="0" fontId="3" fillId="0" borderId="0" xfId="0" applyFont="1" applyAlignment="1">
      <alignment wrapText="1"/>
    </xf>
    <xf numFmtId="17" fontId="2" fillId="0" borderId="1" xfId="0" quotePrefix="1" applyNumberFormat="1" applyFont="1" applyBorder="1" applyAlignment="1">
      <alignment horizontal="justify" vertical="center" wrapText="1"/>
    </xf>
    <xf numFmtId="0" fontId="2" fillId="0" borderId="1" xfId="0" quotePrefix="1" applyFont="1" applyBorder="1" applyAlignment="1">
      <alignment horizontal="justify" vertical="center" wrapText="1"/>
    </xf>
    <xf numFmtId="0" fontId="3" fillId="0" borderId="28" xfId="0" applyFont="1" applyBorder="1" applyAlignment="1">
      <alignment horizontal="center" wrapText="1"/>
    </xf>
    <xf numFmtId="0" fontId="3" fillId="0" borderId="29" xfId="0" applyFont="1" applyBorder="1" applyAlignment="1">
      <alignment horizontal="center" wrapText="1"/>
    </xf>
    <xf numFmtId="0" fontId="3" fillId="0" borderId="29" xfId="0" applyFont="1" applyBorder="1" applyAlignment="1">
      <alignment wrapText="1"/>
    </xf>
    <xf numFmtId="0" fontId="3" fillId="0" borderId="30" xfId="0" applyFont="1" applyBorder="1" applyAlignment="1">
      <alignment wrapText="1"/>
    </xf>
    <xf numFmtId="0" fontId="5" fillId="0" borderId="19" xfId="0" applyFont="1" applyBorder="1" applyAlignment="1">
      <alignment horizontal="left" vertical="center" wrapText="1" indent="1" readingOrder="1"/>
    </xf>
    <xf numFmtId="0" fontId="1" fillId="0" borderId="20" xfId="0" applyFont="1" applyBorder="1" applyAlignment="1">
      <alignment vertical="center" wrapText="1"/>
    </xf>
    <xf numFmtId="165" fontId="1" fillId="0" borderId="21" xfId="0" applyNumberFormat="1" applyFont="1" applyBorder="1" applyAlignment="1">
      <alignment horizontal="center" vertical="center" wrapText="1"/>
    </xf>
    <xf numFmtId="0" fontId="5" fillId="0" borderId="1" xfId="0" applyFont="1" applyBorder="1" applyAlignment="1">
      <alignment horizontal="left" vertical="center" wrapText="1" indent="1" readingOrder="1"/>
    </xf>
    <xf numFmtId="0" fontId="1" fillId="0" borderId="0" xfId="0" applyFont="1" applyAlignment="1">
      <alignment vertical="center" wrapText="1"/>
    </xf>
    <xf numFmtId="165" fontId="1" fillId="0" borderId="23" xfId="0" applyNumberFormat="1" applyFont="1" applyBorder="1" applyAlignment="1">
      <alignment horizontal="center" vertical="center" wrapText="1"/>
    </xf>
    <xf numFmtId="0" fontId="5" fillId="0" borderId="25" xfId="0" applyFont="1" applyBorder="1" applyAlignment="1">
      <alignment horizontal="left" vertical="center" wrapText="1" indent="1" readingOrder="1"/>
    </xf>
    <xf numFmtId="0" fontId="1" fillId="0" borderId="26" xfId="0" applyFont="1" applyBorder="1" applyAlignment="1">
      <alignment vertical="center" wrapText="1"/>
    </xf>
    <xf numFmtId="165" fontId="1" fillId="0" borderId="27" xfId="0" applyNumberFormat="1" applyFont="1" applyBorder="1" applyAlignment="1">
      <alignment horizontal="center" vertical="center" wrapText="1"/>
    </xf>
    <xf numFmtId="0" fontId="14" fillId="0" borderId="0" xfId="1" applyFont="1" applyAlignment="1">
      <alignment wrapText="1"/>
    </xf>
    <xf numFmtId="0" fontId="14" fillId="0" borderId="0" xfId="1" applyFont="1"/>
    <xf numFmtId="0" fontId="1" fillId="0" borderId="1" xfId="0" applyFont="1" applyBorder="1" applyAlignment="1">
      <alignment horizontal="right" vertical="center" wrapText="1"/>
    </xf>
    <xf numFmtId="0" fontId="1" fillId="0" borderId="1" xfId="0" applyFont="1" applyBorder="1" applyAlignment="1">
      <alignment vertical="center"/>
    </xf>
    <xf numFmtId="0" fontId="3" fillId="0" borderId="1" xfId="0" applyFont="1" applyBorder="1" applyAlignment="1">
      <alignment horizontal="center" wrapText="1"/>
    </xf>
    <xf numFmtId="0" fontId="3" fillId="0" borderId="1" xfId="0" applyFont="1" applyBorder="1" applyAlignment="1">
      <alignment horizontal="right" vertical="center" wrapText="1"/>
    </xf>
    <xf numFmtId="0" fontId="16" fillId="0" borderId="0" xfId="0" applyFont="1" applyAlignment="1">
      <alignment vertical="center" wrapText="1"/>
    </xf>
    <xf numFmtId="0" fontId="3" fillId="0" borderId="0" xfId="0" applyFont="1" applyAlignment="1">
      <alignment horizontal="center" vertical="center" wrapText="1"/>
    </xf>
    <xf numFmtId="0" fontId="3" fillId="0" borderId="0" xfId="0" applyFont="1" applyAlignment="1">
      <alignment vertical="center" wrapText="1"/>
    </xf>
    <xf numFmtId="0" fontId="14" fillId="0" borderId="1" xfId="1" applyFont="1" applyBorder="1" applyAlignment="1">
      <alignment vertical="center" wrapText="1"/>
    </xf>
    <xf numFmtId="0" fontId="3" fillId="0" borderId="0" xfId="0" applyFont="1" applyAlignment="1">
      <alignment horizontal="right" vertical="center" wrapText="1"/>
    </xf>
    <xf numFmtId="0" fontId="1" fillId="0" borderId="0" xfId="0" quotePrefix="1" applyFont="1" applyAlignment="1">
      <alignment vertical="center" wrapText="1"/>
    </xf>
    <xf numFmtId="0" fontId="1" fillId="0" borderId="0" xfId="0" applyFont="1" applyAlignment="1">
      <alignment horizontal="right" vertical="center" wrapText="1"/>
    </xf>
    <xf numFmtId="0" fontId="5" fillId="0" borderId="6" xfId="0" applyFont="1" applyBorder="1" applyAlignment="1">
      <alignment horizontal="left" vertical="center" wrapText="1" indent="1" readingOrder="1"/>
    </xf>
    <xf numFmtId="0" fontId="5" fillId="0" borderId="6" xfId="0" applyFont="1" applyBorder="1" applyAlignment="1">
      <alignment vertical="center" wrapText="1" readingOrder="1"/>
    </xf>
    <xf numFmtId="0" fontId="5" fillId="0" borderId="7" xfId="0" applyFont="1" applyBorder="1" applyAlignment="1">
      <alignment horizontal="left" vertical="center" wrapText="1" indent="1" readingOrder="1"/>
    </xf>
    <xf numFmtId="0" fontId="5" fillId="0" borderId="7" xfId="0" applyFont="1" applyBorder="1" applyAlignment="1">
      <alignment vertical="center" wrapText="1" readingOrder="1"/>
    </xf>
    <xf numFmtId="0" fontId="1" fillId="0" borderId="0" xfId="0" quotePrefix="1" applyFont="1"/>
    <xf numFmtId="0" fontId="1" fillId="0" borderId="1" xfId="0" applyFont="1" applyBorder="1" applyAlignment="1">
      <alignment horizontal="center" vertical="center"/>
    </xf>
    <xf numFmtId="0" fontId="3" fillId="0" borderId="2" xfId="0" applyFont="1" applyBorder="1" applyAlignment="1">
      <alignment horizontal="center" wrapText="1"/>
    </xf>
    <xf numFmtId="0" fontId="3" fillId="0" borderId="17" xfId="0" applyFont="1" applyBorder="1" applyAlignment="1">
      <alignment horizontal="center" wrapText="1"/>
    </xf>
    <xf numFmtId="0" fontId="15" fillId="0" borderId="1" xfId="0" applyFont="1" applyBorder="1" applyAlignment="1">
      <alignment vertical="center" wrapText="1"/>
    </xf>
    <xf numFmtId="17" fontId="1" fillId="0" borderId="1" xfId="0" quotePrefix="1" applyNumberFormat="1" applyFont="1" applyBorder="1"/>
    <xf numFmtId="0" fontId="3" fillId="0" borderId="1" xfId="0" applyFont="1" applyBorder="1"/>
    <xf numFmtId="0" fontId="1" fillId="0" borderId="14" xfId="0" applyFont="1" applyBorder="1" applyAlignment="1">
      <alignment wrapText="1"/>
    </xf>
    <xf numFmtId="9" fontId="1" fillId="0" borderId="1" xfId="0" applyNumberFormat="1" applyFont="1" applyBorder="1" applyAlignment="1">
      <alignment vertical="center" wrapText="1"/>
    </xf>
    <xf numFmtId="0" fontId="0" fillId="0" borderId="1" xfId="0" applyBorder="1" applyAlignment="1">
      <alignment vertical="center" wrapText="1"/>
    </xf>
    <xf numFmtId="0" fontId="1" fillId="2" borderId="0" xfId="0" applyFont="1" applyFill="1" applyAlignment="1">
      <alignment wrapText="1"/>
    </xf>
    <xf numFmtId="0" fontId="1" fillId="2" borderId="0" xfId="0" quotePrefix="1" applyFont="1" applyFill="1" applyAlignment="1">
      <alignment wrapText="1"/>
    </xf>
    <xf numFmtId="0" fontId="0" fillId="2" borderId="0" xfId="0" applyFill="1" applyAlignment="1">
      <alignment wrapText="1"/>
    </xf>
    <xf numFmtId="0" fontId="3" fillId="3" borderId="16" xfId="0" applyFont="1" applyFill="1" applyBorder="1" applyAlignment="1">
      <alignment wrapText="1"/>
    </xf>
    <xf numFmtId="0" fontId="1" fillId="3" borderId="16" xfId="0" applyFont="1" applyFill="1" applyBorder="1" applyAlignment="1">
      <alignment wrapText="1"/>
    </xf>
    <xf numFmtId="164" fontId="1" fillId="0" borderId="1" xfId="0" applyNumberFormat="1" applyFont="1" applyBorder="1" applyAlignment="1">
      <alignment vertical="center" wrapText="1"/>
    </xf>
    <xf numFmtId="0" fontId="0" fillId="0" borderId="1" xfId="0" applyBorder="1" applyAlignment="1">
      <alignment wrapText="1"/>
    </xf>
    <xf numFmtId="0" fontId="3" fillId="0" borderId="1"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 xfId="0" applyFont="1" applyBorder="1"/>
    <xf numFmtId="0" fontId="1" fillId="0" borderId="1" xfId="0" applyFont="1" applyBorder="1" applyAlignment="1">
      <alignment horizontal="center"/>
    </xf>
    <xf numFmtId="0" fontId="22" fillId="0" borderId="1" xfId="0" applyFont="1" applyBorder="1" applyAlignment="1">
      <alignment horizontal="center" vertical="center" wrapText="1"/>
    </xf>
    <xf numFmtId="0" fontId="13" fillId="0" borderId="1" xfId="0" applyFont="1" applyBorder="1" applyAlignment="1">
      <alignment vertical="center" wrapText="1"/>
    </xf>
    <xf numFmtId="0" fontId="22" fillId="0" borderId="1" xfId="0" applyFont="1" applyBorder="1" applyAlignment="1">
      <alignment wrapText="1"/>
    </xf>
    <xf numFmtId="0" fontId="21" fillId="0" borderId="1" xfId="0" applyFont="1" applyBorder="1" applyAlignment="1">
      <alignment wrapText="1"/>
    </xf>
    <xf numFmtId="0" fontId="0" fillId="0" borderId="1" xfId="0" applyBorder="1" applyAlignment="1">
      <alignment horizontal="center" wrapText="1"/>
    </xf>
    <xf numFmtId="0" fontId="21" fillId="0" borderId="1" xfId="0" applyFont="1" applyBorder="1" applyAlignment="1">
      <alignment horizontal="center" wrapText="1"/>
    </xf>
    <xf numFmtId="0" fontId="22" fillId="0" borderId="1" xfId="0" applyFont="1" applyBorder="1" applyAlignment="1">
      <alignment vertical="center" wrapText="1"/>
    </xf>
    <xf numFmtId="0" fontId="19" fillId="0" borderId="1" xfId="0" applyFont="1" applyBorder="1" applyAlignment="1">
      <alignment vertical="center" wrapText="1"/>
    </xf>
    <xf numFmtId="0" fontId="22" fillId="0" borderId="1" xfId="0" applyFont="1" applyBorder="1" applyAlignment="1">
      <alignment horizontal="center" wrapText="1"/>
    </xf>
    <xf numFmtId="0" fontId="1" fillId="2" borderId="0" xfId="0" applyFont="1" applyFill="1"/>
    <xf numFmtId="0" fontId="0" fillId="2" borderId="0" xfId="0" applyFill="1"/>
    <xf numFmtId="0" fontId="0" fillId="0" borderId="1" xfId="0" applyBorder="1"/>
    <xf numFmtId="0" fontId="22" fillId="4" borderId="1" xfId="0" applyFont="1" applyFill="1" applyBorder="1"/>
    <xf numFmtId="0" fontId="20" fillId="0" borderId="1" xfId="0" applyFont="1" applyBorder="1"/>
    <xf numFmtId="0" fontId="21" fillId="0" borderId="1" xfId="0" applyFont="1" applyBorder="1"/>
    <xf numFmtId="0" fontId="23" fillId="0" borderId="1" xfId="0" applyFont="1" applyFill="1" applyBorder="1" applyAlignment="1">
      <alignment vertical="center" wrapText="1"/>
    </xf>
    <xf numFmtId="0" fontId="23" fillId="0" borderId="1" xfId="0" applyFont="1" applyBorder="1" applyAlignment="1">
      <alignment vertical="center" wrapText="1"/>
    </xf>
    <xf numFmtId="0" fontId="22" fillId="0" borderId="0" xfId="0" applyFont="1"/>
    <xf numFmtId="0" fontId="22" fillId="0" borderId="1" xfId="0" applyFont="1" applyFill="1" applyBorder="1" applyAlignment="1">
      <alignment vertical="center" wrapText="1"/>
    </xf>
    <xf numFmtId="0" fontId="22" fillId="0" borderId="20" xfId="0" applyFont="1" applyBorder="1"/>
    <xf numFmtId="0" fontId="22" fillId="0" borderId="26" xfId="0" applyFont="1" applyBorder="1"/>
    <xf numFmtId="0" fontId="22" fillId="0" borderId="1" xfId="0" applyFont="1" applyBorder="1"/>
    <xf numFmtId="0" fontId="1" fillId="0" borderId="0" xfId="0" quotePrefix="1" applyFont="1" applyAlignment="1">
      <alignment horizontal="center"/>
    </xf>
    <xf numFmtId="0" fontId="1" fillId="0" borderId="0" xfId="0" applyFont="1" applyAlignment="1">
      <alignment horizontal="center"/>
    </xf>
    <xf numFmtId="0" fontId="22" fillId="0" borderId="1" xfId="0" applyFont="1" applyBorder="1" applyAlignment="1">
      <alignment horizontal="center"/>
    </xf>
    <xf numFmtId="0" fontId="1" fillId="0" borderId="1" xfId="0" applyFont="1" applyBorder="1" applyAlignment="1">
      <alignment horizontal="center" vertical="center" wrapText="1"/>
    </xf>
    <xf numFmtId="0" fontId="3" fillId="0" borderId="1" xfId="0" applyFont="1" applyBorder="1" applyAlignment="1">
      <alignment horizontal="center" wrapText="1"/>
    </xf>
    <xf numFmtId="0" fontId="24" fillId="0" borderId="0" xfId="0" applyFont="1"/>
    <xf numFmtId="0" fontId="11" fillId="2" borderId="0" xfId="1" applyFill="1" applyAlignment="1">
      <alignment wrapText="1"/>
    </xf>
    <xf numFmtId="0" fontId="0" fillId="0" borderId="0" xfId="0" applyAlignment="1">
      <alignment vertical="center" wrapText="1"/>
    </xf>
    <xf numFmtId="0" fontId="3" fillId="0" borderId="15" xfId="0" applyFont="1" applyBorder="1" applyAlignment="1">
      <alignment horizontal="center" wrapText="1"/>
    </xf>
    <xf numFmtId="0" fontId="3" fillId="0" borderId="33" xfId="0" applyFont="1" applyBorder="1" applyAlignment="1">
      <alignment horizontal="center" wrapText="1"/>
    </xf>
    <xf numFmtId="0" fontId="1" fillId="0" borderId="15" xfId="0" applyFont="1" applyBorder="1" applyAlignment="1">
      <alignment horizontal="center" wrapText="1"/>
    </xf>
    <xf numFmtId="0" fontId="3" fillId="0" borderId="0" xfId="0" applyFont="1" applyBorder="1" applyAlignment="1">
      <alignment wrapText="1"/>
    </xf>
    <xf numFmtId="164" fontId="1" fillId="0" borderId="1" xfId="0" applyNumberFormat="1" applyFont="1" applyBorder="1" applyAlignment="1">
      <alignment horizontal="center" vertical="center" wrapText="1"/>
    </xf>
    <xf numFmtId="0" fontId="25" fillId="0" borderId="1" xfId="0" applyFont="1" applyBorder="1" applyAlignment="1">
      <alignment vertical="center" wrapText="1"/>
    </xf>
    <xf numFmtId="0" fontId="3" fillId="0" borderId="2" xfId="0" applyFont="1" applyBorder="1" applyAlignment="1">
      <alignment wrapText="1"/>
    </xf>
    <xf numFmtId="165" fontId="1" fillId="0" borderId="1" xfId="0" applyNumberFormat="1" applyFont="1" applyBorder="1" applyAlignment="1">
      <alignment horizontal="center" vertical="center" wrapText="1"/>
    </xf>
    <xf numFmtId="0" fontId="1" fillId="0" borderId="36" xfId="0" applyFont="1" applyBorder="1" applyAlignment="1">
      <alignment horizontal="center" wrapText="1"/>
    </xf>
    <xf numFmtId="0" fontId="3" fillId="0" borderId="0" xfId="0" applyFont="1" applyBorder="1" applyAlignment="1">
      <alignment horizontal="center" wrapText="1"/>
    </xf>
    <xf numFmtId="0" fontId="1" fillId="0" borderId="14" xfId="0" applyFont="1" applyBorder="1" applyAlignment="1">
      <alignment horizontal="center" wrapText="1"/>
    </xf>
    <xf numFmtId="0" fontId="27" fillId="0" borderId="1" xfId="0" applyFont="1" applyBorder="1" applyAlignment="1">
      <alignment horizontal="center" vertical="center" wrapText="1"/>
    </xf>
    <xf numFmtId="0" fontId="26" fillId="0" borderId="2" xfId="0" applyFont="1" applyBorder="1" applyAlignment="1">
      <alignment vertical="center" wrapText="1"/>
    </xf>
    <xf numFmtId="0" fontId="26" fillId="0" borderId="2" xfId="0" applyFont="1" applyBorder="1" applyAlignment="1">
      <alignment horizontal="center" vertical="center" wrapText="1"/>
    </xf>
    <xf numFmtId="0" fontId="27" fillId="0" borderId="2" xfId="0" applyFont="1" applyBorder="1" applyAlignment="1">
      <alignment vertical="center" wrapText="1"/>
    </xf>
    <xf numFmtId="0" fontId="27" fillId="0" borderId="5" xfId="0" applyFont="1" applyBorder="1" applyAlignment="1">
      <alignment vertical="center" wrapText="1"/>
    </xf>
    <xf numFmtId="0" fontId="26" fillId="0" borderId="1" xfId="0" applyFont="1" applyBorder="1" applyAlignment="1">
      <alignment vertical="center" wrapText="1"/>
    </xf>
    <xf numFmtId="0" fontId="1" fillId="0" borderId="19" xfId="0" applyFont="1" applyBorder="1" applyAlignment="1">
      <alignment horizontal="justify" vertical="center" wrapText="1"/>
    </xf>
    <xf numFmtId="0" fontId="1" fillId="0" borderId="19" xfId="0" applyFont="1" applyBorder="1" applyAlignment="1">
      <alignment vertical="center" wrapText="1"/>
    </xf>
    <xf numFmtId="0" fontId="22" fillId="0" borderId="38" xfId="0" applyFont="1" applyBorder="1" applyAlignment="1">
      <alignment wrapText="1"/>
    </xf>
    <xf numFmtId="0" fontId="22" fillId="0" borderId="39" xfId="0" applyFont="1" applyBorder="1" applyAlignment="1">
      <alignment wrapText="1"/>
    </xf>
    <xf numFmtId="0" fontId="1" fillId="0" borderId="25" xfId="0" applyFont="1" applyBorder="1" applyAlignment="1">
      <alignment horizontal="justify" vertical="center" wrapText="1"/>
    </xf>
    <xf numFmtId="0" fontId="1" fillId="0" borderId="25" xfId="0" applyFont="1" applyBorder="1" applyAlignment="1">
      <alignment vertical="center" wrapText="1"/>
    </xf>
    <xf numFmtId="0" fontId="22" fillId="0" borderId="41" xfId="0" applyFont="1" applyBorder="1" applyAlignment="1">
      <alignment wrapText="1"/>
    </xf>
    <xf numFmtId="0" fontId="27" fillId="0" borderId="37" xfId="0" applyFont="1" applyBorder="1" applyAlignment="1">
      <alignment vertical="center" wrapText="1"/>
    </xf>
    <xf numFmtId="0" fontId="27" fillId="0" borderId="19" xfId="0" applyFont="1" applyBorder="1" applyAlignment="1">
      <alignment horizontal="center" vertical="center" wrapText="1"/>
    </xf>
    <xf numFmtId="0" fontId="0" fillId="0" borderId="25" xfId="0" applyBorder="1"/>
    <xf numFmtId="0" fontId="27" fillId="0" borderId="5" xfId="0" applyFont="1" applyFill="1" applyBorder="1" applyAlignment="1">
      <alignment horizontal="center" vertical="center" wrapText="1"/>
    </xf>
    <xf numFmtId="0" fontId="27" fillId="0" borderId="5" xfId="0" applyFont="1" applyBorder="1" applyAlignment="1">
      <alignment horizontal="center" vertical="center" wrapText="1"/>
    </xf>
    <xf numFmtId="0" fontId="1" fillId="0" borderId="1" xfId="0" applyFont="1" applyBorder="1" applyAlignment="1">
      <alignment horizontal="center" vertical="center" wrapText="1"/>
    </xf>
    <xf numFmtId="0" fontId="27" fillId="0" borderId="5" xfId="0" applyFont="1" applyFill="1" applyBorder="1" applyAlignment="1">
      <alignment horizontal="center" vertical="center" wrapText="1"/>
    </xf>
    <xf numFmtId="0" fontId="27" fillId="0" borderId="40" xfId="0" applyFont="1" applyFill="1" applyBorder="1" applyAlignment="1">
      <alignment horizontal="center" vertical="center" wrapText="1"/>
    </xf>
    <xf numFmtId="0" fontId="27" fillId="0" borderId="5" xfId="0" applyFont="1" applyBorder="1" applyAlignment="1">
      <alignment horizontal="center" vertical="center" wrapText="1"/>
    </xf>
    <xf numFmtId="0" fontId="27" fillId="0" borderId="40" xfId="0" applyFont="1" applyBorder="1" applyAlignment="1">
      <alignment horizontal="center" vertical="center" wrapText="1"/>
    </xf>
    <xf numFmtId="0" fontId="3" fillId="0" borderId="1" xfId="0" applyFont="1" applyBorder="1" applyAlignment="1">
      <alignment horizontal="center" wrapText="1"/>
    </xf>
    <xf numFmtId="0" fontId="1" fillId="0" borderId="2" xfId="0" applyFont="1" applyBorder="1" applyAlignment="1">
      <alignment horizontal="justify" vertical="center" wrapText="1"/>
    </xf>
    <xf numFmtId="0" fontId="1" fillId="0" borderId="2" xfId="0" applyFont="1" applyBorder="1" applyAlignment="1">
      <alignment vertical="center" wrapText="1"/>
    </xf>
    <xf numFmtId="0" fontId="22" fillId="0" borderId="45" xfId="0" applyFont="1" applyBorder="1" applyAlignment="1">
      <alignment wrapText="1"/>
    </xf>
    <xf numFmtId="0" fontId="26" fillId="0" borderId="17" xfId="0" applyFont="1" applyBorder="1" applyAlignment="1">
      <alignment horizontal="center" vertical="center" wrapText="1"/>
    </xf>
    <xf numFmtId="0" fontId="22" fillId="0" borderId="46" xfId="0" applyFont="1" applyBorder="1" applyAlignment="1">
      <alignment wrapText="1"/>
    </xf>
    <xf numFmtId="0" fontId="22" fillId="0" borderId="15" xfId="0" applyFont="1" applyBorder="1" applyAlignment="1">
      <alignment wrapText="1"/>
    </xf>
    <xf numFmtId="0" fontId="22" fillId="0" borderId="47" xfId="0" applyFont="1" applyBorder="1" applyAlignment="1">
      <alignment wrapText="1"/>
    </xf>
    <xf numFmtId="0" fontId="1" fillId="0" borderId="38" xfId="0" applyFont="1" applyBorder="1" applyAlignment="1">
      <alignment wrapText="1"/>
    </xf>
    <xf numFmtId="0" fontId="1" fillId="0" borderId="39" xfId="0" applyFont="1" applyBorder="1" applyAlignment="1">
      <alignment wrapText="1"/>
    </xf>
    <xf numFmtId="0" fontId="1" fillId="0" borderId="41" xfId="0" applyFont="1" applyBorder="1" applyAlignment="1">
      <alignment wrapText="1"/>
    </xf>
    <xf numFmtId="0" fontId="5" fillId="0" borderId="48" xfId="0" applyFont="1" applyBorder="1" applyAlignment="1">
      <alignment horizontal="left" vertical="center" wrapText="1" indent="1" readingOrder="1"/>
    </xf>
    <xf numFmtId="0" fontId="5" fillId="0" borderId="49" xfId="0" applyFont="1" applyBorder="1" applyAlignment="1">
      <alignment horizontal="left" vertical="center" wrapText="1" indent="1" readingOrder="1"/>
    </xf>
    <xf numFmtId="0" fontId="5" fillId="0" borderId="50" xfId="0" applyFont="1" applyBorder="1" applyAlignment="1">
      <alignment vertical="center" wrapText="1" readingOrder="1"/>
    </xf>
    <xf numFmtId="0" fontId="1" fillId="0" borderId="1" xfId="0" applyFont="1" applyBorder="1" applyAlignment="1">
      <alignment horizontal="center" wrapText="1"/>
    </xf>
    <xf numFmtId="0" fontId="3" fillId="0" borderId="1" xfId="0" applyFont="1" applyBorder="1" applyAlignment="1">
      <alignment horizontal="center" wrapText="1"/>
    </xf>
    <xf numFmtId="0" fontId="1" fillId="0" borderId="14" xfId="0" applyFont="1" applyBorder="1" applyAlignment="1">
      <alignment horizontal="left" vertical="top" wrapText="1"/>
    </xf>
    <xf numFmtId="0" fontId="1" fillId="0" borderId="1" xfId="0" applyFont="1" applyBorder="1" applyAlignment="1">
      <alignment horizontal="center" wrapText="1"/>
    </xf>
    <xf numFmtId="0" fontId="3" fillId="0" borderId="32" xfId="0" applyFont="1" applyBorder="1" applyAlignment="1">
      <alignment horizontal="center" wrapText="1"/>
    </xf>
    <xf numFmtId="0" fontId="3" fillId="0" borderId="0" xfId="0" applyFont="1" applyAlignment="1">
      <alignment horizontal="center" wrapText="1"/>
    </xf>
    <xf numFmtId="0" fontId="1" fillId="3" borderId="16" xfId="0" applyFont="1" applyFill="1" applyBorder="1" applyAlignment="1">
      <alignment horizontal="center" wrapText="1"/>
    </xf>
    <xf numFmtId="0" fontId="1" fillId="3" borderId="16" xfId="0" applyFont="1" applyFill="1" applyBorder="1" applyAlignment="1">
      <alignment horizontal="center" vertical="center" wrapText="1"/>
    </xf>
    <xf numFmtId="0" fontId="1" fillId="3" borderId="0" xfId="0" applyFont="1" applyFill="1" applyAlignment="1">
      <alignment horizontal="center" wrapText="1"/>
    </xf>
    <xf numFmtId="0" fontId="3" fillId="3" borderId="1" xfId="0" applyFont="1" applyFill="1" applyBorder="1" applyAlignment="1">
      <alignment horizontal="center" vertical="center" wrapText="1"/>
    </xf>
    <xf numFmtId="0" fontId="1" fillId="2" borderId="1" xfId="0" applyFont="1" applyFill="1" applyBorder="1" applyAlignment="1">
      <alignment horizontal="center" wrapText="1"/>
    </xf>
    <xf numFmtId="0" fontId="26" fillId="0" borderId="18" xfId="0" applyFont="1" applyBorder="1" applyAlignment="1">
      <alignment horizontal="center" vertical="center" wrapText="1"/>
    </xf>
    <xf numFmtId="0" fontId="26" fillId="0" borderId="22" xfId="0" applyFont="1" applyBorder="1" applyAlignment="1">
      <alignment horizontal="center" vertical="center" wrapText="1"/>
    </xf>
    <xf numFmtId="0" fontId="26" fillId="0" borderId="24" xfId="0" applyFont="1" applyBorder="1" applyAlignment="1">
      <alignment horizontal="center" vertical="center" wrapText="1"/>
    </xf>
    <xf numFmtId="0" fontId="27" fillId="0" borderId="37" xfId="0" applyFont="1" applyFill="1" applyBorder="1" applyAlignment="1">
      <alignment horizontal="center" vertical="center" wrapText="1"/>
    </xf>
    <xf numFmtId="0" fontId="27" fillId="0" borderId="5" xfId="0" applyFont="1" applyFill="1" applyBorder="1" applyAlignment="1">
      <alignment horizontal="center" vertical="center" wrapText="1"/>
    </xf>
    <xf numFmtId="0" fontId="27" fillId="0" borderId="40" xfId="0" applyFont="1" applyFill="1" applyBorder="1" applyAlignment="1">
      <alignment horizontal="center" vertical="center" wrapText="1"/>
    </xf>
    <xf numFmtId="0" fontId="27" fillId="0" borderId="37" xfId="0" applyFont="1" applyBorder="1" applyAlignment="1">
      <alignment horizontal="center" vertical="center" wrapText="1"/>
    </xf>
    <xf numFmtId="0" fontId="27" fillId="0" borderId="5" xfId="0" applyFont="1" applyBorder="1" applyAlignment="1">
      <alignment horizontal="center" vertical="center" wrapText="1"/>
    </xf>
    <xf numFmtId="0" fontId="27" fillId="0" borderId="40" xfId="0" applyFont="1" applyBorder="1" applyAlignment="1">
      <alignment horizontal="center" vertical="center" wrapText="1"/>
    </xf>
    <xf numFmtId="0" fontId="26" fillId="0" borderId="42" xfId="0" applyFont="1" applyBorder="1" applyAlignment="1">
      <alignment horizontal="center" vertical="center" wrapText="1"/>
    </xf>
    <xf numFmtId="0" fontId="26" fillId="0" borderId="43" xfId="0" applyFont="1" applyBorder="1" applyAlignment="1">
      <alignment horizontal="center" vertical="center" wrapText="1"/>
    </xf>
    <xf numFmtId="0" fontId="26" fillId="0" borderId="44" xfId="0" applyFont="1" applyBorder="1" applyAlignment="1">
      <alignment horizontal="center" vertical="center" wrapText="1"/>
    </xf>
    <xf numFmtId="0" fontId="1" fillId="0" borderId="32" xfId="0" applyFont="1" applyBorder="1" applyAlignment="1">
      <alignment horizontal="center" vertical="center" wrapText="1"/>
    </xf>
    <xf numFmtId="0" fontId="1" fillId="0" borderId="0" xfId="0" applyFont="1" applyAlignment="1">
      <alignment horizontal="center" vertical="center" wrapText="1"/>
    </xf>
    <xf numFmtId="0" fontId="1" fillId="0" borderId="4" xfId="0" applyFont="1" applyBorder="1" applyAlignment="1">
      <alignment horizontal="center" wrapText="1"/>
    </xf>
    <xf numFmtId="0" fontId="0" fillId="0" borderId="1" xfId="0" applyBorder="1" applyAlignment="1">
      <alignment horizontal="center" vertical="center" wrapText="1"/>
    </xf>
    <xf numFmtId="0" fontId="0" fillId="0" borderId="15" xfId="0" applyBorder="1" applyAlignment="1">
      <alignment horizontal="center" vertical="center" wrapText="1"/>
    </xf>
    <xf numFmtId="0" fontId="0" fillId="0" borderId="16" xfId="0" applyBorder="1" applyAlignment="1">
      <alignment horizontal="center" vertical="center" wrapText="1"/>
    </xf>
    <xf numFmtId="0" fontId="1" fillId="0" borderId="1" xfId="0" applyFont="1" applyBorder="1" applyAlignment="1">
      <alignment horizontal="center" vertical="center" wrapText="1"/>
    </xf>
    <xf numFmtId="0" fontId="3" fillId="0" borderId="1" xfId="0" applyFont="1" applyBorder="1" applyAlignment="1">
      <alignment horizontal="center" vertical="center" wrapText="1"/>
    </xf>
    <xf numFmtId="0" fontId="27" fillId="0" borderId="3" xfId="0" applyFont="1" applyBorder="1" applyAlignment="1">
      <alignment horizontal="center" vertical="center" wrapText="1"/>
    </xf>
    <xf numFmtId="0" fontId="27" fillId="0" borderId="2" xfId="0" applyFont="1" applyBorder="1" applyAlignment="1">
      <alignment horizontal="center" vertical="center" wrapText="1"/>
    </xf>
    <xf numFmtId="0" fontId="1" fillId="0" borderId="2" xfId="0" applyFont="1" applyBorder="1" applyAlignment="1">
      <alignment horizontal="center" vertical="center" wrapText="1"/>
    </xf>
    <xf numFmtId="0" fontId="1" fillId="0" borderId="5" xfId="0" applyFont="1" applyBorder="1" applyAlignment="1">
      <alignment horizontal="center" vertical="center" wrapText="1"/>
    </xf>
    <xf numFmtId="0" fontId="1" fillId="0" borderId="3" xfId="0" applyFont="1" applyBorder="1" applyAlignment="1">
      <alignment horizontal="center" vertical="center" wrapText="1"/>
    </xf>
    <xf numFmtId="0" fontId="3" fillId="0" borderId="10" xfId="0" applyFont="1" applyBorder="1" applyAlignment="1">
      <alignment horizontal="center" wrapText="1"/>
    </xf>
    <xf numFmtId="0" fontId="3" fillId="0" borderId="11" xfId="0" applyFont="1" applyBorder="1" applyAlignment="1">
      <alignment horizontal="center" wrapText="1"/>
    </xf>
    <xf numFmtId="0" fontId="1" fillId="2" borderId="14" xfId="0" applyFont="1" applyFill="1" applyBorder="1" applyAlignment="1">
      <alignment horizontal="center" wrapText="1"/>
    </xf>
    <xf numFmtId="0" fontId="1" fillId="0" borderId="0" xfId="0" applyFont="1" applyAlignment="1">
      <alignment horizontal="left" vertical="top" wrapText="1"/>
    </xf>
    <xf numFmtId="0" fontId="0" fillId="0" borderId="2" xfId="0" applyBorder="1" applyAlignment="1">
      <alignment horizontal="center" vertical="center" wrapText="1"/>
    </xf>
    <xf numFmtId="0" fontId="0" fillId="0" borderId="5" xfId="0" applyBorder="1" applyAlignment="1">
      <alignment horizontal="center" vertical="center" wrapText="1"/>
    </xf>
    <xf numFmtId="0" fontId="1" fillId="0" borderId="1" xfId="0" applyFont="1" applyBorder="1" applyAlignment="1">
      <alignment horizontal="center"/>
    </xf>
    <xf numFmtId="0" fontId="22" fillId="0" borderId="2" xfId="0" applyFont="1" applyBorder="1" applyAlignment="1">
      <alignment horizontal="center" vertical="center" wrapText="1"/>
    </xf>
    <xf numFmtId="0" fontId="22" fillId="0" borderId="5" xfId="0" applyFont="1" applyBorder="1" applyAlignment="1">
      <alignment horizontal="center" vertical="center" wrapText="1"/>
    </xf>
    <xf numFmtId="0" fontId="22" fillId="0" borderId="3" xfId="0" applyFont="1" applyBorder="1" applyAlignment="1">
      <alignment horizontal="center" vertical="center" wrapText="1"/>
    </xf>
    <xf numFmtId="0" fontId="3" fillId="0" borderId="2" xfId="0" applyFont="1" applyBorder="1" applyAlignment="1">
      <alignment horizontal="center" vertical="center" wrapText="1"/>
    </xf>
    <xf numFmtId="0" fontId="3" fillId="0" borderId="5" xfId="0" applyFont="1" applyBorder="1" applyAlignment="1">
      <alignment horizontal="center" vertical="center" wrapText="1"/>
    </xf>
    <xf numFmtId="0" fontId="3" fillId="0" borderId="3" xfId="0" applyFont="1" applyBorder="1" applyAlignment="1">
      <alignment horizontal="center" vertical="center" wrapText="1"/>
    </xf>
    <xf numFmtId="0" fontId="13" fillId="0" borderId="2" xfId="0" applyFont="1" applyBorder="1" applyAlignment="1">
      <alignment horizontal="center" vertical="center" wrapText="1"/>
    </xf>
    <xf numFmtId="0" fontId="13" fillId="0" borderId="5" xfId="0" applyFont="1" applyBorder="1" applyAlignment="1">
      <alignment horizontal="center" vertical="center" wrapText="1"/>
    </xf>
    <xf numFmtId="0" fontId="0" fillId="0" borderId="10" xfId="0" applyBorder="1" applyAlignment="1">
      <alignment horizontal="center"/>
    </xf>
    <xf numFmtId="0" fontId="3" fillId="0" borderId="1" xfId="0" applyFont="1" applyBorder="1" applyAlignment="1">
      <alignment horizontal="center" wrapText="1"/>
    </xf>
    <xf numFmtId="0" fontId="15" fillId="0" borderId="1" xfId="0" applyFont="1" applyBorder="1" applyAlignment="1">
      <alignment horizontal="center" vertical="center" wrapText="1"/>
    </xf>
    <xf numFmtId="0" fontId="1" fillId="3" borderId="34" xfId="0" applyFont="1" applyFill="1" applyBorder="1" applyAlignment="1">
      <alignment horizontal="center" wrapText="1"/>
    </xf>
    <xf numFmtId="0" fontId="1" fillId="3" borderId="35" xfId="0" applyFont="1" applyFill="1" applyBorder="1" applyAlignment="1">
      <alignment horizontal="center" wrapText="1"/>
    </xf>
    <xf numFmtId="0" fontId="14" fillId="0" borderId="20" xfId="1" applyFont="1" applyBorder="1" applyAlignment="1">
      <alignment horizontal="center" wrapText="1"/>
    </xf>
    <xf numFmtId="0" fontId="19" fillId="0" borderId="18" xfId="0" applyFont="1" applyBorder="1" applyAlignment="1">
      <alignment horizontal="center" vertical="center" wrapText="1"/>
    </xf>
    <xf numFmtId="0" fontId="13" fillId="0" borderId="22" xfId="0" applyFont="1" applyBorder="1" applyAlignment="1">
      <alignment horizontal="center" vertical="center" wrapText="1"/>
    </xf>
    <xf numFmtId="0" fontId="13" fillId="0" borderId="24" xfId="0" applyFont="1" applyBorder="1" applyAlignment="1">
      <alignment horizontal="center" vertical="center" wrapText="1"/>
    </xf>
    <xf numFmtId="0" fontId="1" fillId="0" borderId="10" xfId="0" applyFont="1" applyBorder="1" applyAlignment="1">
      <alignment horizontal="center"/>
    </xf>
    <xf numFmtId="0" fontId="1" fillId="0" borderId="3" xfId="0" applyFont="1" applyBorder="1" applyAlignment="1">
      <alignment horizontal="center"/>
    </xf>
    <xf numFmtId="0" fontId="1" fillId="0" borderId="12" xfId="0" applyFont="1" applyBorder="1" applyAlignment="1">
      <alignment horizontal="center" vertical="center" wrapText="1"/>
    </xf>
    <xf numFmtId="0" fontId="1" fillId="0" borderId="13" xfId="0" applyFont="1" applyBorder="1" applyAlignment="1">
      <alignment horizontal="center" vertical="center" wrapText="1"/>
    </xf>
    <xf numFmtId="0" fontId="1" fillId="0" borderId="14"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 xfId="0" applyFont="1" applyBorder="1" applyAlignment="1">
      <alignment horizontal="left" vertical="center" wrapText="1"/>
    </xf>
    <xf numFmtId="0" fontId="1" fillId="0" borderId="1" xfId="0" applyFont="1" applyBorder="1" applyAlignment="1">
      <alignment horizontal="left" vertical="center"/>
    </xf>
    <xf numFmtId="0" fontId="3" fillId="0" borderId="15" xfId="0" applyFont="1" applyBorder="1" applyAlignment="1">
      <alignment horizontal="center" vertical="center"/>
    </xf>
    <xf numFmtId="0" fontId="3" fillId="0" borderId="16" xfId="0" applyFont="1" applyBorder="1" applyAlignment="1">
      <alignment horizontal="center" vertical="center"/>
    </xf>
    <xf numFmtId="0" fontId="3" fillId="0" borderId="31" xfId="0" applyFont="1" applyBorder="1" applyAlignment="1">
      <alignment horizontal="center"/>
    </xf>
    <xf numFmtId="0" fontId="3" fillId="0" borderId="14" xfId="0" applyFont="1" applyBorder="1" applyAlignment="1">
      <alignment horizontal="center"/>
    </xf>
    <xf numFmtId="0" fontId="3" fillId="0" borderId="1" xfId="0" applyFont="1" applyBorder="1" applyAlignment="1">
      <alignment horizontal="left" vertical="center" wrapText="1"/>
    </xf>
    <xf numFmtId="0" fontId="8" fillId="0" borderId="3" xfId="0" applyFont="1" applyBorder="1" applyAlignment="1">
      <alignment horizontal="left" vertical="center" wrapText="1"/>
    </xf>
    <xf numFmtId="0" fontId="26" fillId="0" borderId="35" xfId="0" applyFont="1" applyBorder="1" applyAlignment="1">
      <alignment horizontal="center" vertical="center" wrapText="1"/>
    </xf>
    <xf numFmtId="0" fontId="26" fillId="0" borderId="1" xfId="0" applyFont="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nongnghieppho.vn/blogs/cay-rau/mot-so-sau-benh-hai-pho-bien-tren-cay-rau-ho-cai?utm_source=chatgpt.com"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s://www.jircas.go.jp/en/database/thaivege/018" TargetMode="External"/><Relationship Id="rId1" Type="http://schemas.openxmlformats.org/officeDocument/2006/relationships/hyperlink" Target="https://danviet.vn/trong-bi-xanh-nong-dan-xa-mien-nui-o-ha-long-kham-kha-han-20230414154743188-d1087540.html?utm_source=chatgpt.com"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s://khuyennongvn.gov.vn/khoa-hoc-cong-nghe/khcn-trong-nuoc/benh-tu-huyet-trung-pasteurellosis-15584.html" TargetMode="External"/><Relationship Id="rId3" Type="http://schemas.openxmlformats.org/officeDocument/2006/relationships/hyperlink" Target="https://www.msdvetmanual.com/respiratory-system/respiratory-diseases-of-pigs/influenza-a-virus-in-swine" TargetMode="External"/><Relationship Id="rId7" Type="http://schemas.openxmlformats.org/officeDocument/2006/relationships/hyperlink" Target="https://www.msdvetmanual.com/infectious-diseases/foot-and-mouth-disease/foot-and-mouth-disease-in-animals" TargetMode="External"/><Relationship Id="rId2" Type="http://schemas.openxmlformats.org/officeDocument/2006/relationships/hyperlink" Target="https://www.msdvetmanual.com/generalized-conditions/porcine-reproductive-and-respiratory-syndrome/porcine-reproductive-and-respiratory-syndrome" TargetMode="External"/><Relationship Id="rId1" Type="http://schemas.openxmlformats.org/officeDocument/2006/relationships/hyperlink" Target="https://www.msdvetmanual.com/respiratory-system/respiratory-diseases-of-pigs/pleuropneumonia-in-pigs" TargetMode="External"/><Relationship Id="rId6" Type="http://schemas.openxmlformats.org/officeDocument/2006/relationships/hyperlink" Target="https://www.merckvetmanual.com/digestive-system/enteric-bacterial-diseases-in-pigs/intestinal-salmonellosis-in-pigs" TargetMode="External"/><Relationship Id="rId5" Type="http://schemas.openxmlformats.org/officeDocument/2006/relationships/hyperlink" Target="https://www.merckvetmanual.com/infectious-diseases/erysipelothrix-rhusiopathiae-infection/swine-erysipelas" TargetMode="External"/><Relationship Id="rId4" Type="http://schemas.openxmlformats.org/officeDocument/2006/relationships/hyperlink" Target="https://www.msdvetmanual.com/generalized-conditions/edema-disease/edema-disease-in-pigs" TargetMode="External"/><Relationship Id="rId9"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8" Type="http://schemas.openxmlformats.org/officeDocument/2006/relationships/hyperlink" Target="https://www.merckvetmanual.com/poultry/neoplasms-in-poultry/marek-s-disease-in-poultry" TargetMode="External"/><Relationship Id="rId3" Type="http://schemas.openxmlformats.org/officeDocument/2006/relationships/hyperlink" Target="https://www.msdvetmanual.com/poultry/necrotic-enteritis/necrotic-enteritis-in-poultry" TargetMode="External"/><Relationship Id="rId7" Type="http://schemas.openxmlformats.org/officeDocument/2006/relationships/hyperlink" Target="https://www.merckvetmanual.com/poultry/fowl-cholera/fowl-cholera" TargetMode="External"/><Relationship Id="rId2" Type="http://schemas.openxmlformats.org/officeDocument/2006/relationships/hyperlink" Target="https://www.merckvetmanual.com/poultry/coccidiosis-in-poultry/coccidiosis-in-poultry" TargetMode="External"/><Relationship Id="rId1" Type="http://schemas.openxmlformats.org/officeDocument/2006/relationships/hyperlink" Target="https://www.msdvetmanual.com/poultry/infectious-coryza/infectious-coryza" TargetMode="External"/><Relationship Id="rId6" Type="http://schemas.openxmlformats.org/officeDocument/2006/relationships/hyperlink" Target="https://www.woah.org/en/disease/newcastle-disease/" TargetMode="External"/><Relationship Id="rId5" Type="http://schemas.openxmlformats.org/officeDocument/2006/relationships/hyperlink" Target="https://www.merckvetmanual.com/poultry/salmonelloses/pullorum-disease-and-fowl-typhoid-in-poultry" TargetMode="External"/><Relationship Id="rId4" Type="http://schemas.openxmlformats.org/officeDocument/2006/relationships/hyperlink" Target="https://www.merckvetmanual.com/poultry/colibacillosis/colibacillosis-in-poultry" TargetMode="Externa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63"/>
  <sheetViews>
    <sheetView topLeftCell="A28" zoomScale="70" zoomScaleNormal="70" workbookViewId="0">
      <selection activeCell="F48" sqref="F48"/>
    </sheetView>
  </sheetViews>
  <sheetFormatPr defaultColWidth="9" defaultRowHeight="15" x14ac:dyDescent="0.25"/>
  <cols>
    <col min="1" max="1" width="22.7109375" style="1" bestFit="1" customWidth="1"/>
    <col min="2" max="2" width="32.140625" style="1" bestFit="1" customWidth="1"/>
    <col min="3" max="3" width="20.42578125" style="1" bestFit="1" customWidth="1"/>
    <col min="4" max="4" width="17.42578125" style="1" bestFit="1" customWidth="1"/>
    <col min="5" max="5" width="19.42578125" style="1" bestFit="1" customWidth="1"/>
    <col min="6" max="6" width="17.42578125" style="1" bestFit="1" customWidth="1"/>
    <col min="7" max="7" width="37.42578125" style="1" bestFit="1" customWidth="1"/>
    <col min="8" max="8" width="55" style="1" bestFit="1" customWidth="1"/>
    <col min="9" max="9" width="10.42578125" style="1" bestFit="1" customWidth="1"/>
    <col min="10" max="13" width="12.42578125" style="1" bestFit="1" customWidth="1"/>
    <col min="14" max="14" width="11.7109375" style="1" bestFit="1" customWidth="1"/>
    <col min="15" max="15" width="9.140625" style="1" bestFit="1" customWidth="1"/>
    <col min="16" max="16" width="12.140625" style="1" bestFit="1" customWidth="1"/>
    <col min="17" max="17" width="12.28515625" style="1" bestFit="1" customWidth="1"/>
    <col min="18" max="18" width="9.140625" style="1" bestFit="1" customWidth="1"/>
    <col min="19" max="19" width="12.42578125" style="1" bestFit="1" customWidth="1"/>
    <col min="20" max="20" width="9.140625" style="1" bestFit="1" customWidth="1"/>
    <col min="21" max="21" width="12.42578125" style="1" bestFit="1" customWidth="1"/>
    <col min="22" max="16384" width="9" style="1"/>
  </cols>
  <sheetData>
    <row r="1" spans="1:21" x14ac:dyDescent="0.25">
      <c r="A1" s="200" t="s">
        <v>580</v>
      </c>
      <c r="B1" s="201"/>
      <c r="C1" s="201"/>
      <c r="D1" s="201"/>
      <c r="E1" s="201"/>
      <c r="F1" s="201"/>
    </row>
    <row r="2" spans="1:21" ht="30" x14ac:dyDescent="0.25">
      <c r="A2" s="2" t="s">
        <v>0</v>
      </c>
      <c r="B2" s="2" t="s">
        <v>568</v>
      </c>
      <c r="C2" s="2" t="s">
        <v>570</v>
      </c>
      <c r="D2" s="2" t="s">
        <v>569</v>
      </c>
      <c r="E2" s="2" t="s">
        <v>571</v>
      </c>
      <c r="F2" s="31" t="s">
        <v>159</v>
      </c>
      <c r="G2" s="3"/>
    </row>
    <row r="3" spans="1:21" x14ac:dyDescent="0.25">
      <c r="A3" s="3" t="s">
        <v>8</v>
      </c>
      <c r="B3" s="3">
        <v>10</v>
      </c>
      <c r="C3" s="3" t="s">
        <v>385</v>
      </c>
      <c r="D3" s="3">
        <v>45</v>
      </c>
      <c r="E3" s="3" t="s">
        <v>243</v>
      </c>
      <c r="F3" s="32" t="s">
        <v>577</v>
      </c>
      <c r="G3" s="3"/>
    </row>
    <row r="4" spans="1:21" x14ac:dyDescent="0.25">
      <c r="A4" s="3" t="s">
        <v>9</v>
      </c>
      <c r="B4" s="46" t="s">
        <v>386</v>
      </c>
      <c r="C4" s="3" t="s">
        <v>244</v>
      </c>
      <c r="D4" s="3">
        <v>35</v>
      </c>
      <c r="E4" s="3" t="s">
        <v>572</v>
      </c>
      <c r="F4" s="32" t="s">
        <v>373</v>
      </c>
      <c r="G4" s="3"/>
    </row>
    <row r="5" spans="1:21" x14ac:dyDescent="0.25">
      <c r="A5" s="3" t="s">
        <v>2</v>
      </c>
      <c r="B5" s="47" t="s">
        <v>387</v>
      </c>
      <c r="C5" s="3" t="s">
        <v>388</v>
      </c>
      <c r="D5" s="3">
        <v>33</v>
      </c>
      <c r="E5" s="3" t="s">
        <v>573</v>
      </c>
      <c r="F5" s="32" t="s">
        <v>578</v>
      </c>
      <c r="G5" s="3"/>
    </row>
    <row r="6" spans="1:21" ht="30" x14ac:dyDescent="0.25">
      <c r="A6" s="3" t="s">
        <v>10</v>
      </c>
      <c r="B6" s="3" t="s">
        <v>389</v>
      </c>
      <c r="C6" s="3" t="s">
        <v>388</v>
      </c>
      <c r="D6" s="3">
        <v>38</v>
      </c>
      <c r="E6" s="3" t="s">
        <v>574</v>
      </c>
      <c r="F6" s="32" t="s">
        <v>373</v>
      </c>
      <c r="G6" s="3"/>
    </row>
    <row r="7" spans="1:21" x14ac:dyDescent="0.25">
      <c r="A7" s="3" t="s">
        <v>11</v>
      </c>
      <c r="B7" s="3">
        <v>22</v>
      </c>
      <c r="C7" s="3" t="s">
        <v>390</v>
      </c>
      <c r="D7" s="3">
        <v>38</v>
      </c>
      <c r="E7" s="3" t="s">
        <v>575</v>
      </c>
      <c r="F7" s="32" t="s">
        <v>577</v>
      </c>
      <c r="G7" s="3"/>
    </row>
    <row r="8" spans="1:21" x14ac:dyDescent="0.25">
      <c r="A8" s="3" t="s">
        <v>12</v>
      </c>
      <c r="B8" s="46" t="s">
        <v>391</v>
      </c>
      <c r="C8" s="3" t="s">
        <v>254</v>
      </c>
      <c r="D8" s="3">
        <v>35</v>
      </c>
      <c r="E8" s="3" t="s">
        <v>576</v>
      </c>
      <c r="F8" s="32" t="s">
        <v>579</v>
      </c>
    </row>
    <row r="9" spans="1:21" ht="62.25" customHeight="1" x14ac:dyDescent="0.25">
      <c r="A9" s="203" t="s">
        <v>383</v>
      </c>
      <c r="B9" s="203"/>
      <c r="C9" s="203"/>
      <c r="D9" s="203"/>
      <c r="E9" s="204" t="s">
        <v>581</v>
      </c>
      <c r="F9" s="205"/>
      <c r="G9" s="87"/>
      <c r="H9" s="33"/>
    </row>
    <row r="11" spans="1:21" ht="16.5" customHeight="1" x14ac:dyDescent="0.25">
      <c r="A11" s="187" t="s">
        <v>194</v>
      </c>
      <c r="B11" s="187"/>
      <c r="C11" s="187"/>
      <c r="D11" s="34"/>
      <c r="E11" s="34"/>
      <c r="F11" s="34"/>
      <c r="G11" s="34"/>
      <c r="H11" s="35"/>
      <c r="I11" s="35"/>
      <c r="J11" s="185" t="s">
        <v>215</v>
      </c>
      <c r="K11" s="185"/>
      <c r="L11" s="185"/>
      <c r="M11" s="185"/>
      <c r="N11" s="185"/>
      <c r="O11" s="185"/>
      <c r="P11" s="185"/>
      <c r="Q11" s="185"/>
      <c r="R11" s="185"/>
      <c r="S11" s="185"/>
      <c r="T11" s="185"/>
      <c r="U11" s="185"/>
    </row>
    <row r="12" spans="1:21" ht="32.25" thickBot="1" x14ac:dyDescent="0.3">
      <c r="A12" s="141" t="s">
        <v>710</v>
      </c>
      <c r="B12" s="142" t="s">
        <v>656</v>
      </c>
      <c r="C12" s="142" t="s">
        <v>221</v>
      </c>
      <c r="D12" s="142" t="s">
        <v>196</v>
      </c>
      <c r="E12" s="142" t="s">
        <v>774</v>
      </c>
      <c r="F12" s="167" t="s">
        <v>197</v>
      </c>
      <c r="G12" s="135" t="s">
        <v>216</v>
      </c>
      <c r="H12" s="91"/>
      <c r="I12" s="38" t="s">
        <v>0</v>
      </c>
      <c r="J12" s="38" t="s">
        <v>237</v>
      </c>
      <c r="K12" s="186" t="s">
        <v>238</v>
      </c>
      <c r="L12" s="186"/>
      <c r="M12" s="186" t="s">
        <v>239</v>
      </c>
      <c r="N12" s="186"/>
      <c r="O12" s="38" t="s">
        <v>221</v>
      </c>
      <c r="P12" s="38" t="s">
        <v>237</v>
      </c>
      <c r="Q12" s="38" t="s">
        <v>238</v>
      </c>
      <c r="R12" s="186" t="s">
        <v>239</v>
      </c>
      <c r="S12" s="186"/>
      <c r="T12" s="38" t="s">
        <v>221</v>
      </c>
      <c r="U12" s="38" t="s">
        <v>222</v>
      </c>
    </row>
    <row r="13" spans="1:21" ht="30" x14ac:dyDescent="0.25">
      <c r="A13" s="188" t="s">
        <v>674</v>
      </c>
      <c r="B13" s="191" t="s">
        <v>669</v>
      </c>
      <c r="C13" s="194" t="s">
        <v>658</v>
      </c>
      <c r="D13" s="146" t="s">
        <v>8</v>
      </c>
      <c r="E13" s="147" t="s">
        <v>164</v>
      </c>
      <c r="F13" s="168" t="s">
        <v>686</v>
      </c>
      <c r="G13" s="171"/>
      <c r="H13" s="92"/>
      <c r="I13" s="42" t="s">
        <v>236</v>
      </c>
      <c r="J13" s="43">
        <v>1.05</v>
      </c>
      <c r="K13" s="43">
        <v>1.2</v>
      </c>
      <c r="L13" s="43">
        <v>1.2</v>
      </c>
      <c r="M13" s="43">
        <v>0.9</v>
      </c>
      <c r="N13" s="43">
        <v>0.9</v>
      </c>
      <c r="O13" s="43">
        <v>0.6</v>
      </c>
      <c r="P13" s="43">
        <v>1.05</v>
      </c>
      <c r="Q13" s="43">
        <v>1.2</v>
      </c>
      <c r="R13" s="43">
        <v>0.9</v>
      </c>
      <c r="S13" s="43">
        <v>0.9</v>
      </c>
      <c r="T13" s="43">
        <v>0.6</v>
      </c>
      <c r="U13" s="43"/>
    </row>
    <row r="14" spans="1:21" x14ac:dyDescent="0.25">
      <c r="A14" s="189"/>
      <c r="B14" s="192"/>
      <c r="C14" s="195"/>
      <c r="D14" s="39" t="s">
        <v>9</v>
      </c>
      <c r="E14" s="24" t="s">
        <v>737</v>
      </c>
      <c r="F14" s="169" t="s">
        <v>752</v>
      </c>
      <c r="G14" s="172"/>
      <c r="H14" s="92"/>
      <c r="I14" s="38" t="s">
        <v>217</v>
      </c>
      <c r="J14" s="44" t="s">
        <v>224</v>
      </c>
      <c r="K14" s="44" t="s">
        <v>225</v>
      </c>
      <c r="L14" s="44" t="s">
        <v>226</v>
      </c>
      <c r="M14" s="44" t="s">
        <v>227</v>
      </c>
      <c r="N14" s="44" t="s">
        <v>228</v>
      </c>
      <c r="O14" s="44" t="s">
        <v>229</v>
      </c>
      <c r="P14" s="44" t="s">
        <v>230</v>
      </c>
      <c r="Q14" s="44" t="s">
        <v>231</v>
      </c>
      <c r="R14" s="44" t="s">
        <v>232</v>
      </c>
      <c r="S14" s="44" t="s">
        <v>233</v>
      </c>
      <c r="T14" s="44" t="s">
        <v>234</v>
      </c>
      <c r="U14" s="44" t="s">
        <v>235</v>
      </c>
    </row>
    <row r="15" spans="1:21" ht="30" x14ac:dyDescent="0.25">
      <c r="A15" s="189"/>
      <c r="B15" s="192"/>
      <c r="C15" s="195"/>
      <c r="D15" s="39" t="s">
        <v>2</v>
      </c>
      <c r="E15" s="24" t="s">
        <v>743</v>
      </c>
      <c r="F15" s="169" t="s">
        <v>753</v>
      </c>
      <c r="G15" s="172"/>
      <c r="H15" s="183" t="s">
        <v>223</v>
      </c>
      <c r="I15" s="42" t="s">
        <v>218</v>
      </c>
      <c r="J15" s="43">
        <v>45.260000000000005</v>
      </c>
      <c r="K15" s="43">
        <v>51.893333333333324</v>
      </c>
      <c r="L15" s="43">
        <v>71.299999999999983</v>
      </c>
      <c r="M15" s="43">
        <v>88.965517241379345</v>
      </c>
      <c r="N15" s="43">
        <v>114.59666666666666</v>
      </c>
      <c r="O15" s="43">
        <v>116</v>
      </c>
      <c r="P15" s="43">
        <v>121.51999999999998</v>
      </c>
      <c r="Q15" s="43">
        <v>118.11</v>
      </c>
      <c r="R15" s="43">
        <v>102.79999999999998</v>
      </c>
      <c r="S15" s="43">
        <v>88.143333333333331</v>
      </c>
      <c r="T15" s="43">
        <v>62.3</v>
      </c>
      <c r="U15" s="43">
        <v>50.633333333333319</v>
      </c>
    </row>
    <row r="16" spans="1:21" ht="30" x14ac:dyDescent="0.25">
      <c r="A16" s="189"/>
      <c r="B16" s="192"/>
      <c r="C16" s="195"/>
      <c r="D16" s="39" t="s">
        <v>10</v>
      </c>
      <c r="E16" s="24" t="s">
        <v>744</v>
      </c>
      <c r="F16" s="169" t="s">
        <v>727</v>
      </c>
      <c r="G16" s="172"/>
      <c r="H16" s="183"/>
      <c r="I16" s="42" t="s">
        <v>219</v>
      </c>
      <c r="J16" s="43">
        <v>49.49666666666667</v>
      </c>
      <c r="K16" s="43">
        <v>52.733333333333341</v>
      </c>
      <c r="L16" s="43">
        <v>72.023333333333341</v>
      </c>
      <c r="M16" s="43">
        <v>91.000000000000028</v>
      </c>
      <c r="N16" s="43">
        <v>119.24666666666664</v>
      </c>
      <c r="O16" s="43">
        <v>126.9</v>
      </c>
      <c r="P16" s="43">
        <v>129.78666666666666</v>
      </c>
      <c r="Q16" s="43">
        <v>123.48333333333335</v>
      </c>
      <c r="R16" s="43">
        <v>107.2</v>
      </c>
      <c r="S16" s="43">
        <v>89.796666666666695</v>
      </c>
      <c r="T16" s="43">
        <v>66.700000000000017</v>
      </c>
      <c r="U16" s="43">
        <v>56.626666666666686</v>
      </c>
    </row>
    <row r="17" spans="1:21" ht="30" x14ac:dyDescent="0.25">
      <c r="A17" s="189"/>
      <c r="B17" s="192"/>
      <c r="C17" s="195"/>
      <c r="D17" s="39" t="s">
        <v>11</v>
      </c>
      <c r="E17" s="24" t="s">
        <v>745</v>
      </c>
      <c r="F17" s="169" t="s">
        <v>754</v>
      </c>
      <c r="G17" s="172"/>
      <c r="H17" s="184" t="s">
        <v>215</v>
      </c>
      <c r="I17" s="42" t="s">
        <v>218</v>
      </c>
      <c r="J17" s="43">
        <f>J13*J15</f>
        <v>47.52300000000001</v>
      </c>
      <c r="K17" s="43">
        <f t="shared" ref="K17:U17" si="0">K13*K15</f>
        <v>62.271999999999984</v>
      </c>
      <c r="L17" s="43">
        <f t="shared" si="0"/>
        <v>85.559999999999974</v>
      </c>
      <c r="M17" s="43">
        <f t="shared" si="0"/>
        <v>80.068965517241409</v>
      </c>
      <c r="N17" s="43">
        <f t="shared" si="0"/>
        <v>103.137</v>
      </c>
      <c r="O17" s="43">
        <f t="shared" si="0"/>
        <v>69.599999999999994</v>
      </c>
      <c r="P17" s="43">
        <f t="shared" si="0"/>
        <v>127.59599999999999</v>
      </c>
      <c r="Q17" s="43">
        <f t="shared" si="0"/>
        <v>141.732</v>
      </c>
      <c r="R17" s="43">
        <f t="shared" si="0"/>
        <v>92.519999999999982</v>
      </c>
      <c r="S17" s="43">
        <f t="shared" si="0"/>
        <v>79.328999999999994</v>
      </c>
      <c r="T17" s="43">
        <f t="shared" si="0"/>
        <v>37.379999999999995</v>
      </c>
      <c r="U17" s="43">
        <f t="shared" si="0"/>
        <v>0</v>
      </c>
    </row>
    <row r="18" spans="1:21" ht="30.75" thickBot="1" x14ac:dyDescent="0.3">
      <c r="A18" s="190"/>
      <c r="B18" s="193"/>
      <c r="C18" s="196"/>
      <c r="D18" s="150" t="s">
        <v>12</v>
      </c>
      <c r="E18" s="151" t="s">
        <v>746</v>
      </c>
      <c r="F18" s="170" t="s">
        <v>694</v>
      </c>
      <c r="G18" s="173"/>
      <c r="H18" s="184"/>
      <c r="I18" s="42" t="s">
        <v>219</v>
      </c>
      <c r="J18" s="43">
        <f>J13*J16</f>
        <v>51.971500000000006</v>
      </c>
      <c r="K18" s="43">
        <f t="shared" ref="K18:U18" si="1">K13*K16</f>
        <v>63.280000000000008</v>
      </c>
      <c r="L18" s="43">
        <f t="shared" si="1"/>
        <v>86.428000000000011</v>
      </c>
      <c r="M18" s="43">
        <f t="shared" si="1"/>
        <v>81.900000000000034</v>
      </c>
      <c r="N18" s="43">
        <f t="shared" si="1"/>
        <v>107.32199999999997</v>
      </c>
      <c r="O18" s="43">
        <f t="shared" si="1"/>
        <v>76.14</v>
      </c>
      <c r="P18" s="43">
        <f t="shared" si="1"/>
        <v>136.27600000000001</v>
      </c>
      <c r="Q18" s="43">
        <f t="shared" si="1"/>
        <v>148.18</v>
      </c>
      <c r="R18" s="43">
        <f t="shared" si="1"/>
        <v>96.48</v>
      </c>
      <c r="S18" s="43">
        <f t="shared" si="1"/>
        <v>80.817000000000021</v>
      </c>
      <c r="T18" s="43">
        <f t="shared" si="1"/>
        <v>40.02000000000001</v>
      </c>
      <c r="U18" s="43">
        <f t="shared" si="1"/>
        <v>0</v>
      </c>
    </row>
    <row r="19" spans="1:21" ht="15.75" x14ac:dyDescent="0.25">
      <c r="A19" s="188" t="s">
        <v>675</v>
      </c>
      <c r="B19" s="153" t="s">
        <v>657</v>
      </c>
      <c r="C19" s="153" t="s">
        <v>659</v>
      </c>
      <c r="D19" s="146" t="s">
        <v>8</v>
      </c>
      <c r="E19" s="147" t="s">
        <v>164</v>
      </c>
      <c r="F19" s="168" t="s">
        <v>691</v>
      </c>
      <c r="G19" s="171"/>
      <c r="H19" s="184"/>
      <c r="I19" s="41" t="s">
        <v>220</v>
      </c>
      <c r="J19" s="41">
        <f>AVERAGE(J17:J18)</f>
        <v>49.747250000000008</v>
      </c>
      <c r="K19" s="41">
        <f t="shared" ref="K19:U19" si="2">AVERAGE(K17:K18)</f>
        <v>62.775999999999996</v>
      </c>
      <c r="L19" s="41">
        <f t="shared" si="2"/>
        <v>85.994</v>
      </c>
      <c r="M19" s="41">
        <f t="shared" si="2"/>
        <v>80.984482758620715</v>
      </c>
      <c r="N19" s="41">
        <f t="shared" si="2"/>
        <v>105.22949999999999</v>
      </c>
      <c r="O19" s="41">
        <f t="shared" si="2"/>
        <v>72.87</v>
      </c>
      <c r="P19" s="41">
        <f t="shared" si="2"/>
        <v>131.93600000000001</v>
      </c>
      <c r="Q19" s="41">
        <f t="shared" si="2"/>
        <v>144.95600000000002</v>
      </c>
      <c r="R19" s="41">
        <f t="shared" si="2"/>
        <v>94.5</v>
      </c>
      <c r="S19" s="41">
        <f t="shared" si="2"/>
        <v>80.073000000000008</v>
      </c>
      <c r="T19" s="41">
        <f t="shared" si="2"/>
        <v>38.700000000000003</v>
      </c>
      <c r="U19" s="41">
        <f t="shared" si="2"/>
        <v>0</v>
      </c>
    </row>
    <row r="20" spans="1:21" ht="15.75" x14ac:dyDescent="0.25">
      <c r="A20" s="189"/>
      <c r="B20" s="144"/>
      <c r="C20" s="144"/>
      <c r="D20" s="39" t="s">
        <v>9</v>
      </c>
      <c r="E20" s="24" t="s">
        <v>737</v>
      </c>
      <c r="F20" s="169" t="s">
        <v>755</v>
      </c>
      <c r="G20" s="172"/>
      <c r="H20" s="6"/>
      <c r="I20" s="6"/>
      <c r="J20" s="6"/>
      <c r="K20" s="6"/>
      <c r="L20" s="6"/>
      <c r="M20" s="6"/>
      <c r="N20" s="6"/>
      <c r="O20" s="6"/>
      <c r="P20" s="6"/>
      <c r="Q20" s="6"/>
      <c r="R20" s="6"/>
      <c r="S20" s="6"/>
      <c r="T20" s="6"/>
      <c r="U20" s="6"/>
    </row>
    <row r="21" spans="1:21" ht="15.75" x14ac:dyDescent="0.25">
      <c r="A21" s="189"/>
      <c r="B21" s="143" t="s">
        <v>667</v>
      </c>
      <c r="C21" s="143" t="s">
        <v>668</v>
      </c>
      <c r="D21" s="39" t="s">
        <v>2</v>
      </c>
      <c r="E21" s="24" t="s">
        <v>743</v>
      </c>
      <c r="F21" s="169" t="s">
        <v>756</v>
      </c>
      <c r="G21" s="172"/>
      <c r="H21" s="6"/>
      <c r="I21" s="6"/>
      <c r="J21" s="6"/>
      <c r="K21" s="6"/>
      <c r="L21" s="6"/>
      <c r="M21" s="6"/>
      <c r="N21" s="6"/>
      <c r="O21" s="6"/>
      <c r="P21" s="6"/>
      <c r="Q21" s="6"/>
      <c r="R21" s="6"/>
      <c r="S21" s="6"/>
      <c r="T21" s="6"/>
      <c r="U21" s="6"/>
    </row>
    <row r="22" spans="1:21" ht="30" x14ac:dyDescent="0.25">
      <c r="A22" s="189"/>
      <c r="B22" s="144"/>
      <c r="C22" s="144"/>
      <c r="D22" s="39" t="s">
        <v>10</v>
      </c>
      <c r="E22" s="24" t="s">
        <v>744</v>
      </c>
      <c r="F22" s="169" t="s">
        <v>652</v>
      </c>
      <c r="G22" s="172"/>
      <c r="H22" s="6"/>
      <c r="I22" s="6"/>
      <c r="J22" s="6"/>
      <c r="K22" s="6"/>
      <c r="L22" s="6"/>
      <c r="M22" s="6"/>
      <c r="N22" s="6"/>
      <c r="O22" s="6"/>
      <c r="P22" s="6"/>
      <c r="Q22" s="6"/>
      <c r="R22" s="6"/>
      <c r="S22" s="6"/>
      <c r="T22" s="6"/>
      <c r="U22" s="6"/>
    </row>
    <row r="23" spans="1:21" ht="15.75" x14ac:dyDescent="0.25">
      <c r="A23" s="189"/>
      <c r="B23" s="159"/>
      <c r="C23" s="161"/>
      <c r="D23" s="39" t="s">
        <v>11</v>
      </c>
      <c r="E23" s="24" t="s">
        <v>745</v>
      </c>
      <c r="F23" s="169" t="s">
        <v>757</v>
      </c>
      <c r="G23" s="172"/>
      <c r="H23" s="6"/>
      <c r="I23" s="6"/>
      <c r="J23" s="6"/>
      <c r="K23" s="6"/>
      <c r="L23" s="6"/>
      <c r="M23" s="6"/>
      <c r="N23" s="6"/>
      <c r="O23" s="6"/>
      <c r="P23" s="6"/>
      <c r="Q23" s="6"/>
      <c r="R23" s="6"/>
      <c r="S23" s="6"/>
      <c r="T23" s="6"/>
      <c r="U23" s="6"/>
    </row>
    <row r="24" spans="1:21" ht="26.25" customHeight="1" thickBot="1" x14ac:dyDescent="0.3">
      <c r="A24" s="190"/>
      <c r="B24" s="160"/>
      <c r="C24" s="162"/>
      <c r="D24" s="150" t="s">
        <v>12</v>
      </c>
      <c r="E24" s="151" t="s">
        <v>759</v>
      </c>
      <c r="F24" s="170" t="s">
        <v>758</v>
      </c>
      <c r="G24" s="173"/>
      <c r="H24" s="6"/>
      <c r="I24" s="6" t="s">
        <v>8</v>
      </c>
      <c r="J24" s="6" t="s">
        <v>9</v>
      </c>
      <c r="K24" s="6" t="s">
        <v>2</v>
      </c>
      <c r="L24" s="6" t="s">
        <v>10</v>
      </c>
      <c r="M24" s="6" t="s">
        <v>11</v>
      </c>
      <c r="N24" s="6" t="s">
        <v>12</v>
      </c>
      <c r="O24" s="6"/>
      <c r="P24" s="6"/>
      <c r="Q24" s="6"/>
      <c r="R24" s="6"/>
      <c r="S24" s="6"/>
      <c r="T24" s="6"/>
      <c r="U24" s="6"/>
    </row>
    <row r="25" spans="1:21" ht="30" x14ac:dyDescent="0.25">
      <c r="A25" s="197" t="s">
        <v>675</v>
      </c>
      <c r="B25" s="194" t="s">
        <v>663</v>
      </c>
      <c r="C25" s="194" t="s">
        <v>666</v>
      </c>
      <c r="D25" s="146" t="s">
        <v>8</v>
      </c>
      <c r="E25" s="147" t="s">
        <v>164</v>
      </c>
      <c r="F25" s="168" t="s">
        <v>651</v>
      </c>
      <c r="G25" s="171"/>
      <c r="H25" s="6"/>
      <c r="I25" s="6" t="s">
        <v>164</v>
      </c>
      <c r="J25" s="6" t="s">
        <v>737</v>
      </c>
      <c r="K25" s="6" t="s">
        <v>743</v>
      </c>
      <c r="L25" s="6" t="s">
        <v>744</v>
      </c>
      <c r="M25" s="6" t="s">
        <v>745</v>
      </c>
      <c r="N25" s="6" t="s">
        <v>747</v>
      </c>
      <c r="O25" s="6"/>
      <c r="P25" s="6"/>
      <c r="Q25" s="6"/>
      <c r="R25" s="6"/>
      <c r="S25" s="6"/>
      <c r="T25" s="6"/>
      <c r="U25" s="6"/>
    </row>
    <row r="26" spans="1:21" ht="30" x14ac:dyDescent="0.25">
      <c r="A26" s="198"/>
      <c r="B26" s="195"/>
      <c r="C26" s="195"/>
      <c r="D26" s="39" t="s">
        <v>9</v>
      </c>
      <c r="E26" s="24" t="s">
        <v>737</v>
      </c>
      <c r="F26" s="169" t="s">
        <v>760</v>
      </c>
      <c r="G26" s="172"/>
      <c r="H26" s="6"/>
      <c r="I26" s="6" t="s">
        <v>686</v>
      </c>
      <c r="J26" s="6" t="s">
        <v>643</v>
      </c>
      <c r="K26" s="6" t="s">
        <v>687</v>
      </c>
      <c r="L26" s="6" t="s">
        <v>688</v>
      </c>
      <c r="M26" s="6" t="s">
        <v>689</v>
      </c>
      <c r="N26" s="6" t="s">
        <v>690</v>
      </c>
      <c r="O26" s="6"/>
      <c r="P26" s="6"/>
      <c r="Q26" s="6"/>
      <c r="R26" s="6"/>
      <c r="S26" s="6"/>
      <c r="T26" s="6"/>
      <c r="U26" s="6"/>
    </row>
    <row r="27" spans="1:21" x14ac:dyDescent="0.25">
      <c r="A27" s="198"/>
      <c r="B27" s="195"/>
      <c r="C27" s="195"/>
      <c r="D27" s="39" t="s">
        <v>2</v>
      </c>
      <c r="E27" s="24" t="s">
        <v>743</v>
      </c>
      <c r="F27" s="169" t="s">
        <v>754</v>
      </c>
      <c r="G27" s="172"/>
      <c r="H27" s="6"/>
      <c r="I27" s="6"/>
      <c r="J27" s="6"/>
      <c r="K27" s="6"/>
      <c r="L27" s="6"/>
      <c r="M27" s="6"/>
      <c r="N27" s="6"/>
      <c r="O27" s="6"/>
      <c r="P27" s="6"/>
      <c r="Q27" s="6"/>
      <c r="R27" s="6"/>
      <c r="S27" s="6"/>
      <c r="T27" s="6"/>
      <c r="U27" s="6"/>
    </row>
    <row r="28" spans="1:21" ht="30" x14ac:dyDescent="0.25">
      <c r="A28" s="198"/>
      <c r="B28" s="195"/>
      <c r="C28" s="195"/>
      <c r="D28" s="39" t="s">
        <v>10</v>
      </c>
      <c r="E28" s="24" t="s">
        <v>744</v>
      </c>
      <c r="F28" s="169" t="s">
        <v>694</v>
      </c>
      <c r="G28" s="172"/>
      <c r="H28" s="6"/>
      <c r="I28" s="6"/>
      <c r="J28" s="6"/>
      <c r="K28" s="6"/>
      <c r="L28" s="6"/>
      <c r="M28" s="6"/>
      <c r="N28" s="6"/>
      <c r="O28" s="6"/>
      <c r="P28" s="6"/>
      <c r="Q28" s="6"/>
      <c r="R28" s="6"/>
      <c r="S28" s="6"/>
      <c r="T28" s="6"/>
      <c r="U28" s="6"/>
    </row>
    <row r="29" spans="1:21" x14ac:dyDescent="0.25">
      <c r="A29" s="198"/>
      <c r="B29" s="195"/>
      <c r="C29" s="195"/>
      <c r="D29" s="39" t="s">
        <v>11</v>
      </c>
      <c r="E29" s="24" t="s">
        <v>745</v>
      </c>
      <c r="F29" s="169" t="s">
        <v>692</v>
      </c>
      <c r="G29" s="172"/>
      <c r="H29" s="6"/>
      <c r="I29" s="6"/>
      <c r="J29" s="6"/>
      <c r="K29" s="6"/>
      <c r="L29" s="6"/>
      <c r="M29" s="6"/>
      <c r="N29" s="6"/>
      <c r="O29" s="6"/>
      <c r="P29" s="6"/>
      <c r="Q29" s="6"/>
      <c r="R29" s="6"/>
      <c r="S29" s="6"/>
      <c r="T29" s="6"/>
      <c r="U29" s="6"/>
    </row>
    <row r="30" spans="1:21" ht="15.75" thickBot="1" x14ac:dyDescent="0.3">
      <c r="A30" s="199"/>
      <c r="B30" s="196"/>
      <c r="C30" s="196"/>
      <c r="D30" s="150" t="s">
        <v>12</v>
      </c>
      <c r="E30" s="151" t="s">
        <v>746</v>
      </c>
      <c r="F30" s="170" t="s">
        <v>697</v>
      </c>
      <c r="G30" s="173"/>
      <c r="H30" s="6"/>
      <c r="I30" s="6"/>
      <c r="J30" s="6"/>
      <c r="K30" s="6"/>
      <c r="L30" s="6"/>
      <c r="M30" s="6"/>
      <c r="N30" s="6"/>
      <c r="O30" s="6"/>
      <c r="P30" s="6"/>
      <c r="Q30" s="6"/>
      <c r="R30" s="6"/>
      <c r="S30" s="6"/>
      <c r="T30" s="6"/>
      <c r="U30" s="6"/>
    </row>
    <row r="31" spans="1:21" x14ac:dyDescent="0.25">
      <c r="A31" s="197" t="s">
        <v>676</v>
      </c>
      <c r="B31" s="191" t="s">
        <v>670</v>
      </c>
      <c r="C31" s="194" t="s">
        <v>660</v>
      </c>
      <c r="D31" s="146" t="s">
        <v>8</v>
      </c>
      <c r="E31" s="147" t="s">
        <v>164</v>
      </c>
      <c r="F31" s="168" t="s">
        <v>698</v>
      </c>
      <c r="G31" s="171"/>
      <c r="H31" s="6"/>
      <c r="I31" s="6"/>
      <c r="J31" s="6"/>
      <c r="K31" s="6"/>
      <c r="L31" s="6"/>
      <c r="M31" s="6"/>
      <c r="N31" s="6"/>
      <c r="O31" s="6"/>
      <c r="P31" s="6"/>
      <c r="Q31" s="6"/>
      <c r="R31" s="6"/>
      <c r="S31" s="6"/>
      <c r="T31" s="6"/>
      <c r="U31" s="6"/>
    </row>
    <row r="32" spans="1:21" x14ac:dyDescent="0.25">
      <c r="A32" s="198"/>
      <c r="B32" s="192"/>
      <c r="C32" s="195"/>
      <c r="D32" s="39" t="s">
        <v>9</v>
      </c>
      <c r="E32" s="24" t="s">
        <v>737</v>
      </c>
      <c r="F32" s="169" t="s">
        <v>761</v>
      </c>
      <c r="G32" s="172"/>
      <c r="H32" s="6"/>
      <c r="I32" s="6"/>
      <c r="J32" s="6"/>
      <c r="K32" s="6"/>
      <c r="L32" s="6"/>
      <c r="M32" s="6"/>
      <c r="N32" s="6"/>
      <c r="O32" s="6"/>
      <c r="P32" s="6"/>
      <c r="Q32" s="6"/>
      <c r="R32" s="6"/>
      <c r="S32" s="6"/>
      <c r="T32" s="6"/>
      <c r="U32" s="6"/>
    </row>
    <row r="33" spans="1:21" x14ac:dyDescent="0.25">
      <c r="A33" s="198"/>
      <c r="B33" s="192"/>
      <c r="C33" s="195"/>
      <c r="D33" s="39" t="s">
        <v>2</v>
      </c>
      <c r="E33" s="24" t="s">
        <v>743</v>
      </c>
      <c r="F33" s="169" t="s">
        <v>762</v>
      </c>
      <c r="G33" s="172"/>
      <c r="H33" s="6"/>
      <c r="I33" s="6"/>
      <c r="J33" s="6"/>
      <c r="K33" s="6"/>
      <c r="L33" s="6"/>
      <c r="M33" s="6"/>
      <c r="N33" s="6"/>
      <c r="O33" s="6"/>
      <c r="P33" s="6"/>
      <c r="Q33" s="6"/>
      <c r="R33" s="6"/>
      <c r="S33" s="6"/>
      <c r="T33" s="6"/>
      <c r="U33" s="6"/>
    </row>
    <row r="34" spans="1:21" ht="30" x14ac:dyDescent="0.25">
      <c r="A34" s="198"/>
      <c r="B34" s="192"/>
      <c r="C34" s="195"/>
      <c r="D34" s="39" t="s">
        <v>10</v>
      </c>
      <c r="E34" s="24" t="s">
        <v>744</v>
      </c>
      <c r="F34" s="169" t="s">
        <v>765</v>
      </c>
      <c r="G34" s="172"/>
      <c r="H34" s="6"/>
      <c r="I34" s="6"/>
      <c r="J34" s="6"/>
      <c r="K34" s="6"/>
      <c r="L34" s="6"/>
      <c r="M34" s="6"/>
      <c r="N34" s="6"/>
      <c r="O34" s="6"/>
      <c r="P34" s="6"/>
      <c r="Q34" s="6"/>
      <c r="R34" s="6"/>
      <c r="S34" s="6"/>
      <c r="T34" s="6"/>
      <c r="U34" s="6"/>
    </row>
    <row r="35" spans="1:21" x14ac:dyDescent="0.25">
      <c r="A35" s="198"/>
      <c r="B35" s="192"/>
      <c r="C35" s="195"/>
      <c r="D35" s="39" t="s">
        <v>11</v>
      </c>
      <c r="E35" s="24" t="s">
        <v>745</v>
      </c>
      <c r="F35" s="169" t="s">
        <v>766</v>
      </c>
      <c r="G35" s="172"/>
      <c r="H35" s="6"/>
      <c r="I35" s="6"/>
      <c r="J35" s="6"/>
      <c r="K35" s="6"/>
      <c r="L35" s="6"/>
      <c r="M35" s="6"/>
      <c r="N35" s="6"/>
      <c r="O35" s="6"/>
      <c r="P35" s="6"/>
      <c r="Q35" s="6"/>
      <c r="R35" s="6"/>
      <c r="S35" s="6"/>
      <c r="T35" s="6"/>
      <c r="U35" s="6"/>
    </row>
    <row r="36" spans="1:21" ht="15.75" thickBot="1" x14ac:dyDescent="0.3">
      <c r="A36" s="199"/>
      <c r="B36" s="193"/>
      <c r="C36" s="196"/>
      <c r="D36" s="150" t="s">
        <v>12</v>
      </c>
      <c r="E36" s="151" t="s">
        <v>746</v>
      </c>
      <c r="F36" s="170" t="s">
        <v>767</v>
      </c>
      <c r="G36" s="173"/>
      <c r="H36" s="6"/>
      <c r="I36" s="6"/>
      <c r="J36" s="6"/>
      <c r="K36" s="6"/>
      <c r="L36" s="6"/>
      <c r="M36" s="6"/>
      <c r="N36" s="6"/>
      <c r="O36" s="6"/>
      <c r="P36" s="6"/>
      <c r="Q36" s="6"/>
      <c r="R36" s="6"/>
      <c r="S36" s="6"/>
      <c r="T36" s="6"/>
      <c r="U36" s="6"/>
    </row>
    <row r="37" spans="1:21" x14ac:dyDescent="0.25">
      <c r="A37" s="188" t="s">
        <v>677</v>
      </c>
      <c r="B37" s="194" t="s">
        <v>671</v>
      </c>
      <c r="C37" s="194" t="s">
        <v>661</v>
      </c>
      <c r="D37" s="146" t="s">
        <v>8</v>
      </c>
      <c r="E37" s="147" t="s">
        <v>164</v>
      </c>
      <c r="F37" s="168" t="s">
        <v>704</v>
      </c>
      <c r="G37" s="171"/>
      <c r="H37" s="6"/>
      <c r="I37" s="6"/>
      <c r="J37" s="6"/>
      <c r="K37" s="6"/>
      <c r="L37" s="6"/>
      <c r="M37" s="6"/>
      <c r="N37" s="6"/>
      <c r="O37" s="6"/>
      <c r="P37" s="6"/>
      <c r="Q37" s="6"/>
      <c r="R37" s="6"/>
      <c r="S37" s="6"/>
      <c r="T37" s="6"/>
      <c r="U37" s="6"/>
    </row>
    <row r="38" spans="1:21" x14ac:dyDescent="0.25">
      <c r="A38" s="189"/>
      <c r="B38" s="195"/>
      <c r="C38" s="195"/>
      <c r="D38" s="39" t="s">
        <v>9</v>
      </c>
      <c r="E38" s="24" t="s">
        <v>737</v>
      </c>
      <c r="F38" s="169" t="s">
        <v>768</v>
      </c>
      <c r="G38" s="172"/>
      <c r="H38" s="6"/>
      <c r="I38" s="6"/>
      <c r="J38" s="6"/>
      <c r="K38" s="6"/>
      <c r="L38" s="6"/>
      <c r="M38" s="6"/>
      <c r="N38" s="6"/>
      <c r="O38" s="6"/>
      <c r="P38" s="6"/>
      <c r="Q38" s="6"/>
      <c r="R38" s="6"/>
      <c r="S38" s="6"/>
      <c r="T38" s="6"/>
      <c r="U38" s="6"/>
    </row>
    <row r="39" spans="1:21" x14ac:dyDescent="0.25">
      <c r="A39" s="189"/>
      <c r="B39" s="208"/>
      <c r="C39" s="208"/>
      <c r="D39" s="39" t="s">
        <v>2</v>
      </c>
      <c r="E39" s="24" t="s">
        <v>743</v>
      </c>
      <c r="F39" s="169" t="s">
        <v>763</v>
      </c>
      <c r="G39" s="172"/>
      <c r="H39" s="6"/>
      <c r="I39" s="6"/>
      <c r="J39" s="6"/>
      <c r="K39" s="6"/>
      <c r="L39" s="6"/>
      <c r="M39" s="6"/>
      <c r="N39" s="6"/>
      <c r="O39" s="6"/>
      <c r="P39" s="6"/>
      <c r="Q39" s="6"/>
      <c r="R39" s="6"/>
      <c r="S39" s="6"/>
      <c r="T39" s="6"/>
      <c r="U39" s="6"/>
    </row>
    <row r="40" spans="1:21" ht="30" x14ac:dyDescent="0.25">
      <c r="A40" s="189"/>
      <c r="B40" s="209" t="s">
        <v>672</v>
      </c>
      <c r="C40" s="209" t="s">
        <v>661</v>
      </c>
      <c r="D40" s="39" t="s">
        <v>10</v>
      </c>
      <c r="E40" s="24" t="s">
        <v>744</v>
      </c>
      <c r="F40" s="169" t="s">
        <v>764</v>
      </c>
      <c r="G40" s="172"/>
      <c r="H40" s="6"/>
      <c r="I40" s="6"/>
      <c r="J40" s="6"/>
      <c r="K40" s="6"/>
      <c r="L40" s="6"/>
      <c r="M40" s="6"/>
      <c r="N40" s="6"/>
      <c r="O40" s="6"/>
      <c r="P40" s="6"/>
      <c r="Q40" s="6"/>
      <c r="R40" s="6"/>
      <c r="S40" s="6"/>
      <c r="T40" s="6"/>
      <c r="U40" s="6"/>
    </row>
    <row r="41" spans="1:21" x14ac:dyDescent="0.25">
      <c r="A41" s="189"/>
      <c r="B41" s="195"/>
      <c r="C41" s="195"/>
      <c r="D41" s="39" t="s">
        <v>11</v>
      </c>
      <c r="E41" s="24" t="s">
        <v>745</v>
      </c>
      <c r="F41" s="169" t="s">
        <v>769</v>
      </c>
      <c r="G41" s="172"/>
      <c r="H41" s="6"/>
      <c r="I41" s="6"/>
      <c r="J41" s="6"/>
      <c r="K41" s="6"/>
      <c r="L41" s="6"/>
      <c r="M41" s="6"/>
      <c r="N41" s="6"/>
      <c r="O41" s="6"/>
      <c r="P41" s="6"/>
      <c r="Q41" s="6"/>
      <c r="R41" s="6"/>
      <c r="S41" s="6"/>
      <c r="T41" s="6"/>
      <c r="U41" s="6"/>
    </row>
    <row r="42" spans="1:21" ht="15.75" thickBot="1" x14ac:dyDescent="0.3">
      <c r="A42" s="190"/>
      <c r="B42" s="196"/>
      <c r="C42" s="196"/>
      <c r="D42" s="150" t="s">
        <v>12</v>
      </c>
      <c r="E42" s="151" t="s">
        <v>771</v>
      </c>
      <c r="F42" s="170" t="s">
        <v>770</v>
      </c>
      <c r="G42" s="173"/>
      <c r="H42" s="6"/>
      <c r="I42" s="6"/>
      <c r="J42" s="6"/>
      <c r="K42" s="6"/>
      <c r="L42" s="6"/>
      <c r="M42" s="6"/>
      <c r="N42" s="6"/>
      <c r="O42" s="6"/>
      <c r="P42" s="6"/>
      <c r="Q42" s="6"/>
      <c r="R42" s="6"/>
      <c r="S42" s="6"/>
      <c r="T42" s="6"/>
      <c r="U42" s="6"/>
    </row>
    <row r="43" spans="1:21" ht="15.75" x14ac:dyDescent="0.25">
      <c r="A43" s="197" t="s">
        <v>678</v>
      </c>
      <c r="B43" s="154" t="s">
        <v>711</v>
      </c>
      <c r="C43" s="154" t="s">
        <v>662</v>
      </c>
      <c r="D43" s="146" t="s">
        <v>8</v>
      </c>
      <c r="E43" s="147" t="s">
        <v>164</v>
      </c>
      <c r="F43" s="168" t="s">
        <v>704</v>
      </c>
      <c r="G43" s="171"/>
      <c r="H43" s="6"/>
      <c r="I43" s="6"/>
      <c r="J43" s="6"/>
      <c r="K43" s="6"/>
      <c r="L43" s="6"/>
      <c r="M43" s="6"/>
      <c r="N43" s="6"/>
      <c r="O43" s="6"/>
      <c r="P43" s="6"/>
      <c r="Q43" s="6"/>
      <c r="R43" s="6"/>
      <c r="S43" s="6"/>
      <c r="T43" s="6"/>
      <c r="U43" s="6"/>
    </row>
    <row r="44" spans="1:21" ht="15.75" x14ac:dyDescent="0.25">
      <c r="A44" s="198"/>
      <c r="B44" s="140" t="s">
        <v>664</v>
      </c>
      <c r="C44" s="140" t="s">
        <v>665</v>
      </c>
      <c r="D44" s="39" t="s">
        <v>9</v>
      </c>
      <c r="E44" s="24" t="s">
        <v>737</v>
      </c>
      <c r="F44" s="169" t="s">
        <v>768</v>
      </c>
      <c r="G44" s="172"/>
      <c r="H44" s="6"/>
      <c r="I44" s="6"/>
      <c r="J44" s="6"/>
      <c r="K44" s="6"/>
      <c r="L44" s="6"/>
      <c r="M44" s="6"/>
      <c r="N44" s="6"/>
      <c r="O44" s="6"/>
      <c r="P44" s="6"/>
      <c r="Q44" s="6"/>
      <c r="R44" s="6"/>
      <c r="S44" s="6"/>
      <c r="T44" s="6"/>
      <c r="U44" s="6"/>
    </row>
    <row r="45" spans="1:21" ht="15.75" x14ac:dyDescent="0.25">
      <c r="A45" s="198"/>
      <c r="B45" s="140" t="s">
        <v>671</v>
      </c>
      <c r="C45" s="140" t="s">
        <v>661</v>
      </c>
      <c r="D45" s="39" t="s">
        <v>2</v>
      </c>
      <c r="E45" s="24" t="s">
        <v>743</v>
      </c>
      <c r="F45" s="169" t="s">
        <v>763</v>
      </c>
      <c r="G45" s="172"/>
      <c r="H45" s="6"/>
      <c r="I45" s="6"/>
      <c r="J45" s="6"/>
      <c r="K45" s="6"/>
      <c r="L45" s="6"/>
      <c r="M45" s="6"/>
      <c r="N45" s="6"/>
      <c r="O45" s="6"/>
      <c r="P45" s="6"/>
      <c r="Q45" s="6"/>
      <c r="R45" s="6"/>
      <c r="S45" s="6"/>
      <c r="T45" s="6"/>
      <c r="U45" s="6"/>
    </row>
    <row r="46" spans="1:21" ht="21.75" customHeight="1" x14ac:dyDescent="0.25">
      <c r="A46" s="198"/>
      <c r="B46" s="140" t="s">
        <v>672</v>
      </c>
      <c r="C46" s="140" t="s">
        <v>661</v>
      </c>
      <c r="D46" s="39" t="s">
        <v>10</v>
      </c>
      <c r="E46" s="24" t="s">
        <v>744</v>
      </c>
      <c r="F46" s="169" t="s">
        <v>772</v>
      </c>
      <c r="G46" s="172"/>
      <c r="H46" s="6"/>
      <c r="I46" s="6"/>
      <c r="J46" s="6"/>
      <c r="K46" s="6"/>
      <c r="L46" s="6"/>
      <c r="M46" s="6"/>
      <c r="N46" s="6"/>
      <c r="O46" s="6"/>
      <c r="P46" s="6"/>
      <c r="Q46" s="6"/>
      <c r="R46" s="6"/>
      <c r="S46" s="6"/>
      <c r="T46" s="6"/>
      <c r="U46" s="6"/>
    </row>
    <row r="47" spans="1:21" x14ac:dyDescent="0.25">
      <c r="A47" s="198"/>
      <c r="B47" s="110"/>
      <c r="C47" s="110"/>
      <c r="D47" s="39" t="s">
        <v>11</v>
      </c>
      <c r="E47" s="24" t="s">
        <v>745</v>
      </c>
      <c r="F47" s="169" t="s">
        <v>773</v>
      </c>
      <c r="G47" s="172"/>
      <c r="H47" s="6"/>
      <c r="I47" s="6"/>
      <c r="J47" s="6"/>
      <c r="K47" s="6"/>
      <c r="L47" s="6"/>
      <c r="M47" s="6"/>
      <c r="N47" s="6"/>
      <c r="O47" s="6"/>
      <c r="P47" s="6"/>
      <c r="Q47" s="6"/>
      <c r="R47" s="6"/>
      <c r="S47" s="6"/>
      <c r="T47" s="6"/>
      <c r="U47" s="6"/>
    </row>
    <row r="48" spans="1:21" ht="19.5" customHeight="1" thickBot="1" x14ac:dyDescent="0.3">
      <c r="A48" s="199"/>
      <c r="B48" s="155"/>
      <c r="C48" s="155"/>
      <c r="D48" s="150" t="s">
        <v>12</v>
      </c>
      <c r="E48" s="151" t="s">
        <v>746</v>
      </c>
      <c r="F48" s="170" t="s">
        <v>709</v>
      </c>
      <c r="G48" s="173"/>
      <c r="H48" s="6"/>
      <c r="I48" s="6"/>
      <c r="J48" s="6"/>
      <c r="K48" s="6"/>
      <c r="L48" s="6"/>
      <c r="M48" s="6"/>
      <c r="N48" s="6"/>
      <c r="O48" s="6"/>
      <c r="P48" s="6"/>
      <c r="Q48" s="6"/>
      <c r="R48" s="6"/>
      <c r="S48" s="6"/>
      <c r="T48" s="6"/>
      <c r="U48" s="6"/>
    </row>
    <row r="49" spans="1:21" ht="25.5" customHeight="1" x14ac:dyDescent="0.25">
      <c r="A49" s="202" t="s">
        <v>211</v>
      </c>
      <c r="B49" s="202"/>
      <c r="C49" s="6"/>
      <c r="D49" s="6"/>
      <c r="E49" s="6"/>
      <c r="F49" s="6"/>
      <c r="G49" s="6"/>
      <c r="H49" s="6"/>
      <c r="I49" s="6"/>
      <c r="J49" s="6"/>
      <c r="K49" s="6"/>
      <c r="L49" s="6"/>
      <c r="M49" s="6"/>
      <c r="N49" s="6"/>
      <c r="O49" s="6"/>
      <c r="P49" s="6"/>
      <c r="Q49" s="6"/>
      <c r="R49" s="6"/>
      <c r="S49" s="6"/>
      <c r="T49" s="6"/>
      <c r="U49" s="6"/>
    </row>
    <row r="50" spans="1:21" ht="25.5" customHeight="1" x14ac:dyDescent="0.25">
      <c r="A50" s="181" t="s">
        <v>342</v>
      </c>
      <c r="B50" s="182"/>
      <c r="C50" s="182"/>
      <c r="D50" s="182"/>
      <c r="E50" s="182"/>
      <c r="F50" s="182"/>
      <c r="G50" s="182"/>
      <c r="H50" s="182"/>
      <c r="I50" s="182"/>
      <c r="J50" s="182"/>
      <c r="K50" s="6"/>
      <c r="L50" s="6"/>
      <c r="M50" s="6"/>
      <c r="N50" s="6"/>
      <c r="O50" s="6"/>
      <c r="P50" s="6"/>
      <c r="Q50" s="6"/>
      <c r="R50" s="6"/>
      <c r="S50" s="6"/>
      <c r="T50" s="6"/>
      <c r="U50" s="6"/>
    </row>
    <row r="51" spans="1:21" ht="25.5" customHeight="1" x14ac:dyDescent="0.25">
      <c r="A51" s="207" t="s">
        <v>294</v>
      </c>
      <c r="B51" s="206" t="s">
        <v>367</v>
      </c>
      <c r="C51" s="206"/>
      <c r="D51" s="206"/>
      <c r="E51" s="206"/>
      <c r="F51" s="206"/>
      <c r="G51" s="206"/>
      <c r="H51" s="180" t="s">
        <v>368</v>
      </c>
      <c r="I51" s="180"/>
      <c r="J51" s="180"/>
      <c r="K51" s="6"/>
      <c r="L51" s="6"/>
      <c r="M51" s="6"/>
      <c r="N51" s="6"/>
      <c r="O51" s="6"/>
      <c r="P51" s="6"/>
      <c r="Q51" s="6"/>
      <c r="R51" s="6"/>
      <c r="S51" s="6"/>
      <c r="T51" s="6"/>
      <c r="U51" s="6"/>
    </row>
    <row r="52" spans="1:21" ht="25.5" customHeight="1" x14ac:dyDescent="0.25">
      <c r="A52" s="207"/>
      <c r="B52" s="95" t="s">
        <v>8</v>
      </c>
      <c r="C52" s="95" t="s">
        <v>9</v>
      </c>
      <c r="D52" s="95" t="s">
        <v>2</v>
      </c>
      <c r="E52" s="95" t="s">
        <v>10</v>
      </c>
      <c r="F52" s="95" t="s">
        <v>11</v>
      </c>
      <c r="G52" s="95" t="s">
        <v>12</v>
      </c>
      <c r="H52" s="95" t="s">
        <v>343</v>
      </c>
      <c r="I52" s="95" t="s">
        <v>344</v>
      </c>
      <c r="J52" s="95" t="s">
        <v>345</v>
      </c>
      <c r="K52" s="6"/>
      <c r="L52" s="6"/>
      <c r="M52" s="6"/>
      <c r="N52" s="6"/>
      <c r="O52" s="6"/>
      <c r="P52" s="6"/>
      <c r="Q52" s="6"/>
      <c r="R52" s="6"/>
      <c r="S52" s="6"/>
      <c r="T52" s="6"/>
      <c r="U52" s="6"/>
    </row>
    <row r="53" spans="1:21" ht="25.5" customHeight="1" x14ac:dyDescent="0.25">
      <c r="A53" s="106" t="s">
        <v>288</v>
      </c>
      <c r="B53" s="14"/>
      <c r="C53" s="14" t="s">
        <v>341</v>
      </c>
      <c r="D53" s="14" t="s">
        <v>341</v>
      </c>
      <c r="E53" s="14" t="s">
        <v>341</v>
      </c>
      <c r="F53" s="14" t="s">
        <v>341</v>
      </c>
      <c r="G53" s="14" t="s">
        <v>341</v>
      </c>
      <c r="H53" s="24" t="s">
        <v>353</v>
      </c>
      <c r="I53" s="86">
        <v>0.85</v>
      </c>
      <c r="J53" s="64" t="s">
        <v>346</v>
      </c>
      <c r="K53" s="6"/>
      <c r="L53" s="6"/>
      <c r="M53" s="6"/>
      <c r="N53" s="6"/>
      <c r="O53" s="6"/>
      <c r="P53" s="6"/>
      <c r="Q53" s="6"/>
      <c r="R53" s="6"/>
      <c r="S53" s="6"/>
      <c r="T53" s="6"/>
      <c r="U53" s="6"/>
    </row>
    <row r="54" spans="1:21" ht="25.5" customHeight="1" x14ac:dyDescent="0.25">
      <c r="A54" s="100" t="s">
        <v>289</v>
      </c>
      <c r="B54" s="14"/>
      <c r="C54" s="14"/>
      <c r="D54" s="99" t="s">
        <v>341</v>
      </c>
      <c r="E54" s="99" t="s">
        <v>341</v>
      </c>
      <c r="F54" s="14" t="s">
        <v>341</v>
      </c>
      <c r="G54" s="14"/>
      <c r="H54" s="24" t="s">
        <v>354</v>
      </c>
      <c r="I54" s="24" t="s">
        <v>355</v>
      </c>
      <c r="J54" s="64" t="s">
        <v>347</v>
      </c>
      <c r="K54" s="6"/>
      <c r="L54" s="6"/>
      <c r="M54" s="6"/>
      <c r="N54" s="6"/>
      <c r="O54" s="6"/>
      <c r="P54" s="6"/>
      <c r="Q54" s="6"/>
      <c r="R54" s="6"/>
      <c r="S54" s="6"/>
      <c r="T54" s="6"/>
      <c r="U54" s="6"/>
    </row>
    <row r="55" spans="1:21" ht="25.5" customHeight="1" x14ac:dyDescent="0.25">
      <c r="A55" s="100" t="s">
        <v>348</v>
      </c>
      <c r="B55" s="14"/>
      <c r="C55" s="99" t="s">
        <v>341</v>
      </c>
      <c r="D55" s="99" t="s">
        <v>341</v>
      </c>
      <c r="E55" s="99" t="s">
        <v>341</v>
      </c>
      <c r="F55" s="14" t="s">
        <v>341</v>
      </c>
      <c r="G55" s="14" t="s">
        <v>341</v>
      </c>
      <c r="H55" s="24" t="s">
        <v>356</v>
      </c>
      <c r="I55" s="24" t="s">
        <v>357</v>
      </c>
      <c r="J55" s="64" t="s">
        <v>358</v>
      </c>
      <c r="K55" s="6"/>
      <c r="L55" s="6"/>
      <c r="M55" s="6"/>
      <c r="N55" s="6"/>
      <c r="O55" s="6"/>
      <c r="P55" s="6"/>
      <c r="Q55" s="6"/>
      <c r="R55" s="6"/>
      <c r="S55" s="6"/>
      <c r="T55" s="6"/>
      <c r="U55" s="6"/>
    </row>
    <row r="56" spans="1:21" ht="25.5" customHeight="1" x14ac:dyDescent="0.25">
      <c r="A56" s="100" t="s">
        <v>290</v>
      </c>
      <c r="B56" s="14" t="s">
        <v>341</v>
      </c>
      <c r="C56" s="99" t="s">
        <v>341</v>
      </c>
      <c r="D56" s="99" t="s">
        <v>341</v>
      </c>
      <c r="E56" s="99" t="s">
        <v>341</v>
      </c>
      <c r="F56" s="99" t="s">
        <v>341</v>
      </c>
      <c r="G56" s="14"/>
      <c r="H56" s="24" t="s">
        <v>359</v>
      </c>
      <c r="I56" s="24" t="s">
        <v>360</v>
      </c>
      <c r="J56" s="64" t="s">
        <v>349</v>
      </c>
      <c r="K56" s="6"/>
      <c r="L56" s="6"/>
      <c r="M56" s="6"/>
      <c r="N56" s="6"/>
      <c r="O56" s="6"/>
      <c r="P56" s="6"/>
      <c r="Q56" s="6"/>
      <c r="R56" s="6"/>
      <c r="S56" s="6"/>
      <c r="T56" s="6"/>
      <c r="U56" s="6"/>
    </row>
    <row r="57" spans="1:21" ht="25.5" customHeight="1" x14ac:dyDescent="0.25">
      <c r="A57" s="23" t="s">
        <v>291</v>
      </c>
      <c r="B57" s="14"/>
      <c r="C57" s="14"/>
      <c r="D57" s="14"/>
      <c r="E57" s="14" t="s">
        <v>341</v>
      </c>
      <c r="F57" s="14" t="s">
        <v>341</v>
      </c>
      <c r="G57" s="14" t="s">
        <v>341</v>
      </c>
      <c r="H57" s="24" t="s">
        <v>361</v>
      </c>
      <c r="I57" s="24" t="s">
        <v>362</v>
      </c>
      <c r="J57" s="64" t="s">
        <v>350</v>
      </c>
      <c r="K57" s="6"/>
      <c r="L57" s="6"/>
      <c r="M57" s="6"/>
      <c r="N57" s="6"/>
      <c r="O57" s="6"/>
      <c r="P57" s="6"/>
      <c r="Q57" s="6"/>
      <c r="R57" s="6"/>
      <c r="S57" s="6"/>
      <c r="T57" s="6"/>
      <c r="U57" s="6"/>
    </row>
    <row r="58" spans="1:21" ht="25.5" customHeight="1" x14ac:dyDescent="0.25">
      <c r="A58" s="100" t="s">
        <v>292</v>
      </c>
      <c r="B58" s="14"/>
      <c r="C58" s="14"/>
      <c r="D58" s="99" t="s">
        <v>341</v>
      </c>
      <c r="E58" s="99" t="s">
        <v>341</v>
      </c>
      <c r="F58" s="99" t="s">
        <v>341</v>
      </c>
      <c r="G58" s="99" t="s">
        <v>341</v>
      </c>
      <c r="H58" s="24" t="s">
        <v>363</v>
      </c>
      <c r="I58" s="24" t="s">
        <v>364</v>
      </c>
      <c r="J58" s="64" t="s">
        <v>351</v>
      </c>
      <c r="K58" s="6"/>
      <c r="L58" s="6"/>
      <c r="M58" s="6"/>
      <c r="N58" s="6"/>
      <c r="O58" s="6"/>
      <c r="P58" s="6"/>
      <c r="Q58" s="6"/>
      <c r="R58" s="6"/>
      <c r="S58" s="6"/>
      <c r="T58" s="6"/>
      <c r="U58" s="6"/>
    </row>
    <row r="59" spans="1:21" ht="25.5" customHeight="1" x14ac:dyDescent="0.25">
      <c r="A59" s="23" t="s">
        <v>293</v>
      </c>
      <c r="B59" s="14"/>
      <c r="C59" s="14"/>
      <c r="D59" s="99" t="s">
        <v>341</v>
      </c>
      <c r="E59" s="99" t="s">
        <v>341</v>
      </c>
      <c r="F59" s="99" t="s">
        <v>341</v>
      </c>
      <c r="G59" s="99" t="s">
        <v>341</v>
      </c>
      <c r="H59" s="24" t="s">
        <v>365</v>
      </c>
      <c r="I59" s="24" t="s">
        <v>366</v>
      </c>
      <c r="J59" s="64" t="s">
        <v>352</v>
      </c>
      <c r="K59" s="6"/>
      <c r="L59" s="6"/>
      <c r="M59" s="6"/>
      <c r="N59" s="6"/>
      <c r="O59" s="6"/>
      <c r="P59" s="6"/>
      <c r="Q59" s="6"/>
      <c r="R59" s="6"/>
      <c r="S59" s="6"/>
      <c r="T59" s="6"/>
      <c r="U59" s="6"/>
    </row>
    <row r="60" spans="1:21" s="90" customFormat="1" ht="25.5" customHeight="1" x14ac:dyDescent="0.25">
      <c r="A60" s="88" t="s">
        <v>382</v>
      </c>
      <c r="B60" s="88" t="s">
        <v>383</v>
      </c>
      <c r="C60" s="89" t="s">
        <v>431</v>
      </c>
      <c r="D60" s="88"/>
      <c r="E60" s="88"/>
      <c r="F60" s="88"/>
      <c r="G60" s="88"/>
      <c r="H60" s="88"/>
      <c r="I60" s="88"/>
      <c r="J60" s="88"/>
      <c r="K60" s="88"/>
      <c r="L60" s="88"/>
      <c r="M60" s="88"/>
      <c r="N60" s="88"/>
      <c r="O60" s="88"/>
      <c r="P60" s="88"/>
      <c r="Q60" s="88"/>
      <c r="R60" s="88"/>
      <c r="S60" s="88"/>
      <c r="T60" s="88"/>
      <c r="U60" s="88"/>
    </row>
    <row r="61" spans="1:21" ht="28.5" customHeight="1" x14ac:dyDescent="0.25">
      <c r="A61" s="102" t="s">
        <v>582</v>
      </c>
      <c r="B61" s="94"/>
      <c r="C61" s="104" t="s">
        <v>341</v>
      </c>
      <c r="D61" s="94"/>
      <c r="E61" s="94"/>
      <c r="F61" s="94"/>
      <c r="G61" s="94"/>
      <c r="H61" s="94" t="s">
        <v>609</v>
      </c>
      <c r="I61" s="94" t="s">
        <v>611</v>
      </c>
      <c r="J61" t="s">
        <v>610</v>
      </c>
      <c r="K61" s="1" t="s">
        <v>607</v>
      </c>
    </row>
    <row r="62" spans="1:21" x14ac:dyDescent="0.25">
      <c r="A62" s="102" t="s">
        <v>583</v>
      </c>
      <c r="B62" s="94"/>
      <c r="C62" s="103"/>
      <c r="D62" s="104" t="s">
        <v>341</v>
      </c>
      <c r="E62" s="104" t="s">
        <v>341</v>
      </c>
      <c r="F62" s="104" t="s">
        <v>341</v>
      </c>
      <c r="G62" s="94"/>
      <c r="H62" s="94"/>
      <c r="I62" s="94"/>
      <c r="J62" s="94"/>
    </row>
    <row r="63" spans="1:21" x14ac:dyDescent="0.25">
      <c r="A63" s="102" t="s">
        <v>584</v>
      </c>
      <c r="B63" s="94"/>
      <c r="C63" s="94"/>
      <c r="D63" s="104" t="s">
        <v>341</v>
      </c>
      <c r="E63" s="104" t="s">
        <v>341</v>
      </c>
      <c r="F63" s="104" t="s">
        <v>341</v>
      </c>
      <c r="G63" s="104" t="s">
        <v>341</v>
      </c>
      <c r="H63" s="94" t="s">
        <v>604</v>
      </c>
      <c r="I63" s="94" t="s">
        <v>605</v>
      </c>
      <c r="J63" s="94"/>
      <c r="K63" s="1" t="s">
        <v>608</v>
      </c>
    </row>
  </sheetData>
  <mergeCells count="31">
    <mergeCell ref="A1:F1"/>
    <mergeCell ref="A49:B49"/>
    <mergeCell ref="A9:D9"/>
    <mergeCell ref="E9:F9"/>
    <mergeCell ref="B51:G51"/>
    <mergeCell ref="A51:A52"/>
    <mergeCell ref="A25:A30"/>
    <mergeCell ref="B31:B36"/>
    <mergeCell ref="C31:C36"/>
    <mergeCell ref="A37:A42"/>
    <mergeCell ref="B37:B39"/>
    <mergeCell ref="C37:C39"/>
    <mergeCell ref="B40:B42"/>
    <mergeCell ref="C40:C42"/>
    <mergeCell ref="A43:A48"/>
    <mergeCell ref="H51:J51"/>
    <mergeCell ref="A50:J50"/>
    <mergeCell ref="H15:H16"/>
    <mergeCell ref="H17:H19"/>
    <mergeCell ref="J11:U11"/>
    <mergeCell ref="K12:L12"/>
    <mergeCell ref="M12:N12"/>
    <mergeCell ref="R12:S12"/>
    <mergeCell ref="A11:C11"/>
    <mergeCell ref="A13:A18"/>
    <mergeCell ref="A19:A24"/>
    <mergeCell ref="B13:B18"/>
    <mergeCell ref="C13:C18"/>
    <mergeCell ref="B25:B30"/>
    <mergeCell ref="C25:C30"/>
    <mergeCell ref="A31:A36"/>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43"/>
  <sheetViews>
    <sheetView topLeftCell="A10" zoomScale="70" zoomScaleNormal="70" workbookViewId="0">
      <selection activeCell="E24" sqref="E24"/>
    </sheetView>
  </sheetViews>
  <sheetFormatPr defaultColWidth="9" defaultRowHeight="15" x14ac:dyDescent="0.25"/>
  <cols>
    <col min="1" max="1" width="26.28515625" style="6" customWidth="1"/>
    <col min="2" max="2" width="18.7109375" style="6" bestFit="1" customWidth="1"/>
    <col min="3" max="3" width="20.85546875" style="6" bestFit="1" customWidth="1"/>
    <col min="4" max="4" width="18.42578125" style="6" bestFit="1" customWidth="1"/>
    <col min="5" max="5" width="53.28515625" style="6" bestFit="1" customWidth="1"/>
    <col min="6" max="6" width="12.28515625" style="6" bestFit="1" customWidth="1"/>
    <col min="7" max="9" width="9" style="6"/>
    <col min="10" max="10" width="12.5703125" style="6" bestFit="1" customWidth="1"/>
    <col min="11" max="13" width="12.42578125" style="6" bestFit="1" customWidth="1"/>
    <col min="14" max="14" width="11.7109375" style="6" bestFit="1" customWidth="1"/>
    <col min="15" max="15" width="9.140625" style="6" bestFit="1" customWidth="1"/>
    <col min="16" max="17" width="12.140625" style="6" bestFit="1" customWidth="1"/>
    <col min="18" max="18" width="9.140625" style="6" bestFit="1" customWidth="1"/>
    <col min="19" max="19" width="12.42578125" style="6" bestFit="1" customWidth="1"/>
    <col min="20" max="20" width="9.140625" style="6" bestFit="1" customWidth="1"/>
    <col min="21" max="21" width="12.42578125" style="6" bestFit="1" customWidth="1"/>
    <col min="22" max="16384" width="9" style="6"/>
  </cols>
  <sheetData>
    <row r="1" spans="1:11" ht="17.25" customHeight="1" thickBot="1" x14ac:dyDescent="0.3">
      <c r="A1" s="213" t="s">
        <v>59</v>
      </c>
      <c r="B1" s="213"/>
      <c r="C1" s="213"/>
      <c r="D1" s="213"/>
      <c r="E1" s="214"/>
      <c r="F1" s="207" t="s">
        <v>3</v>
      </c>
      <c r="G1" s="207"/>
      <c r="H1" s="207"/>
      <c r="I1" s="207"/>
    </row>
    <row r="2" spans="1:11" ht="75.75" thickBot="1" x14ac:dyDescent="0.3">
      <c r="A2" s="5" t="s">
        <v>16</v>
      </c>
      <c r="B2" s="5" t="s">
        <v>13</v>
      </c>
      <c r="C2" s="5" t="s">
        <v>6</v>
      </c>
      <c r="D2" s="5" t="s">
        <v>7</v>
      </c>
      <c r="E2" s="11" t="s">
        <v>14</v>
      </c>
      <c r="F2" s="4" t="s">
        <v>53</v>
      </c>
      <c r="G2" s="4" t="s">
        <v>4</v>
      </c>
      <c r="H2" s="4" t="s">
        <v>5</v>
      </c>
      <c r="I2" s="4" t="s">
        <v>55</v>
      </c>
    </row>
    <row r="3" spans="1:11" ht="30.75" thickBot="1" x14ac:dyDescent="0.3">
      <c r="A3" s="8" t="s">
        <v>15</v>
      </c>
      <c r="B3" s="7" t="s">
        <v>49</v>
      </c>
      <c r="C3" s="7">
        <v>10</v>
      </c>
      <c r="D3" s="7" t="s">
        <v>31</v>
      </c>
      <c r="E3" s="12" t="s">
        <v>32</v>
      </c>
      <c r="F3" s="210" t="s">
        <v>54</v>
      </c>
      <c r="G3" s="210" t="s">
        <v>56</v>
      </c>
      <c r="H3" s="210" t="s">
        <v>57</v>
      </c>
      <c r="I3" s="210" t="s">
        <v>58</v>
      </c>
    </row>
    <row r="4" spans="1:11" ht="15.75" thickBot="1" x14ac:dyDescent="0.3">
      <c r="A4" s="8" t="s">
        <v>1</v>
      </c>
      <c r="B4" s="7" t="s">
        <v>25</v>
      </c>
      <c r="C4" s="7" t="s">
        <v>40</v>
      </c>
      <c r="D4" s="7" t="s">
        <v>41</v>
      </c>
      <c r="E4" s="12" t="s">
        <v>17</v>
      </c>
      <c r="F4" s="211"/>
      <c r="G4" s="211"/>
      <c r="H4" s="211"/>
      <c r="I4" s="211"/>
      <c r="K4" s="6" t="s">
        <v>39</v>
      </c>
    </row>
    <row r="5" spans="1:11" ht="15.75" thickBot="1" x14ac:dyDescent="0.3">
      <c r="A5" s="8" t="s">
        <v>18</v>
      </c>
      <c r="B5" s="7" t="s">
        <v>19</v>
      </c>
      <c r="C5" s="7" t="s">
        <v>42</v>
      </c>
      <c r="D5" s="7" t="s">
        <v>43</v>
      </c>
      <c r="E5" s="12" t="s">
        <v>20</v>
      </c>
      <c r="F5" s="211"/>
      <c r="G5" s="211"/>
      <c r="H5" s="211"/>
      <c r="I5" s="211"/>
    </row>
    <row r="6" spans="1:11" ht="37.5" customHeight="1" thickBot="1" x14ac:dyDescent="0.3">
      <c r="A6" s="8" t="s">
        <v>21</v>
      </c>
      <c r="B6" s="7" t="s">
        <v>44</v>
      </c>
      <c r="C6" s="7" t="s">
        <v>22</v>
      </c>
      <c r="D6" s="7" t="s">
        <v>43</v>
      </c>
      <c r="E6" s="12" t="s">
        <v>23</v>
      </c>
      <c r="F6" s="211"/>
      <c r="G6" s="211"/>
      <c r="H6" s="211"/>
      <c r="I6" s="211"/>
    </row>
    <row r="7" spans="1:11" ht="15.75" thickBot="1" x14ac:dyDescent="0.3">
      <c r="A7" s="8" t="s">
        <v>24</v>
      </c>
      <c r="B7" s="7" t="s">
        <v>25</v>
      </c>
      <c r="C7" s="7">
        <v>10</v>
      </c>
      <c r="D7" s="7" t="s">
        <v>43</v>
      </c>
      <c r="E7" s="12" t="s">
        <v>26</v>
      </c>
      <c r="F7" s="211"/>
      <c r="G7" s="211"/>
      <c r="H7" s="211"/>
      <c r="I7" s="211"/>
    </row>
    <row r="8" spans="1:11" ht="30.75" thickBot="1" x14ac:dyDescent="0.3">
      <c r="A8" s="8" t="s">
        <v>27</v>
      </c>
      <c r="B8" s="7" t="s">
        <v>28</v>
      </c>
      <c r="C8" s="7" t="s">
        <v>45</v>
      </c>
      <c r="D8" s="7" t="s">
        <v>29</v>
      </c>
      <c r="E8" s="12" t="s">
        <v>30</v>
      </c>
      <c r="F8" s="211"/>
      <c r="G8" s="211"/>
      <c r="H8" s="211"/>
      <c r="I8" s="211"/>
    </row>
    <row r="9" spans="1:11" ht="30.75" thickBot="1" x14ac:dyDescent="0.3">
      <c r="A9" s="8" t="s">
        <v>33</v>
      </c>
      <c r="B9" s="7" t="s">
        <v>46</v>
      </c>
      <c r="C9" s="7">
        <v>10</v>
      </c>
      <c r="D9" s="7" t="s">
        <v>29</v>
      </c>
      <c r="E9" s="12" t="s">
        <v>34</v>
      </c>
      <c r="F9" s="211"/>
      <c r="G9" s="211"/>
      <c r="H9" s="211"/>
      <c r="I9" s="211"/>
    </row>
    <row r="10" spans="1:11" ht="30.75" thickBot="1" x14ac:dyDescent="0.3">
      <c r="A10" s="8" t="s">
        <v>48</v>
      </c>
      <c r="B10" s="7" t="s">
        <v>52</v>
      </c>
      <c r="C10" s="7" t="s">
        <v>51</v>
      </c>
      <c r="D10" s="7" t="s">
        <v>47</v>
      </c>
      <c r="E10" s="12" t="s">
        <v>35</v>
      </c>
      <c r="F10" s="211"/>
      <c r="G10" s="211"/>
      <c r="H10" s="211"/>
      <c r="I10" s="211"/>
    </row>
    <row r="11" spans="1:11" ht="30" x14ac:dyDescent="0.25">
      <c r="A11" s="9" t="s">
        <v>36</v>
      </c>
      <c r="B11" s="10"/>
      <c r="C11" s="10"/>
      <c r="D11" s="10" t="s">
        <v>37</v>
      </c>
      <c r="E11" s="13" t="s">
        <v>38</v>
      </c>
      <c r="F11" s="212"/>
      <c r="G11" s="212"/>
      <c r="H11" s="212"/>
      <c r="I11" s="212"/>
    </row>
    <row r="12" spans="1:11" ht="32.25" customHeight="1" x14ac:dyDescent="0.25">
      <c r="A12" s="180" t="s">
        <v>50</v>
      </c>
      <c r="B12" s="180"/>
      <c r="C12" s="180"/>
      <c r="D12" s="180"/>
      <c r="E12" s="180"/>
      <c r="F12" s="180" t="s">
        <v>60</v>
      </c>
      <c r="G12" s="180"/>
      <c r="H12" s="180"/>
      <c r="I12" s="180"/>
    </row>
    <row r="15" spans="1:11" x14ac:dyDescent="0.25">
      <c r="A15" s="215" t="s">
        <v>198</v>
      </c>
      <c r="B15" s="215"/>
      <c r="C15" s="215"/>
    </row>
    <row r="16" spans="1:11" ht="75" x14ac:dyDescent="0.25">
      <c r="A16" s="125" t="s">
        <v>195</v>
      </c>
      <c r="B16" s="125" t="s">
        <v>196</v>
      </c>
      <c r="C16" s="125" t="s">
        <v>748</v>
      </c>
      <c r="D16" s="125" t="s">
        <v>775</v>
      </c>
      <c r="E16" s="125" t="s">
        <v>214</v>
      </c>
      <c r="F16" s="125" t="s">
        <v>215</v>
      </c>
      <c r="G16" s="125" t="s">
        <v>216</v>
      </c>
    </row>
    <row r="17" spans="1:21" ht="15" customHeight="1" x14ac:dyDescent="0.25">
      <c r="A17" s="217" t="s">
        <v>641</v>
      </c>
      <c r="B17" s="55" t="s">
        <v>791</v>
      </c>
      <c r="C17" s="34" t="s">
        <v>722</v>
      </c>
      <c r="D17" s="101" t="s">
        <v>642</v>
      </c>
      <c r="E17" s="24" t="s">
        <v>25</v>
      </c>
      <c r="F17" s="93">
        <f>(Q25*$J$19)/3</f>
        <v>28.185888888888893</v>
      </c>
      <c r="G17" s="24"/>
      <c r="H17" s="35"/>
      <c r="I17" s="35"/>
      <c r="J17" s="185" t="s">
        <v>215</v>
      </c>
      <c r="K17" s="185"/>
      <c r="L17" s="185"/>
      <c r="M17" s="185"/>
      <c r="N17" s="185"/>
      <c r="O17" s="185"/>
      <c r="P17" s="185"/>
      <c r="Q17" s="185"/>
      <c r="R17" s="185"/>
      <c r="S17" s="185"/>
      <c r="T17" s="185"/>
      <c r="U17" s="185"/>
    </row>
    <row r="18" spans="1:21" ht="30" x14ac:dyDescent="0.25">
      <c r="A18" s="218"/>
      <c r="B18" s="55" t="s">
        <v>371</v>
      </c>
      <c r="C18" s="34" t="s">
        <v>792</v>
      </c>
      <c r="D18" s="101" t="s">
        <v>707</v>
      </c>
      <c r="E18" s="24" t="s">
        <v>19</v>
      </c>
      <c r="F18" s="93">
        <f>(R25*$J$19)/3</f>
        <v>24.5</v>
      </c>
      <c r="G18" s="24"/>
      <c r="H18" s="91"/>
      <c r="I18" s="38" t="s">
        <v>0</v>
      </c>
      <c r="J18" s="38" t="s">
        <v>240</v>
      </c>
      <c r="K18" s="44" t="s">
        <v>241</v>
      </c>
      <c r="L18" s="44" t="s">
        <v>24</v>
      </c>
      <c r="M18" s="44" t="s">
        <v>27</v>
      </c>
      <c r="N18" s="44"/>
      <c r="O18" s="38"/>
      <c r="P18" s="38"/>
      <c r="Q18" s="38"/>
      <c r="R18" s="44"/>
      <c r="S18" s="44"/>
      <c r="T18" s="38"/>
      <c r="U18" s="38"/>
    </row>
    <row r="19" spans="1:21" ht="30" x14ac:dyDescent="0.25">
      <c r="A19" s="218"/>
      <c r="B19" s="55" t="s">
        <v>21</v>
      </c>
      <c r="C19" s="34" t="s">
        <v>793</v>
      </c>
      <c r="D19" s="101" t="s">
        <v>776</v>
      </c>
      <c r="E19" s="24" t="s">
        <v>44</v>
      </c>
      <c r="F19" s="93">
        <f>R25*$K$19*2/3+S25*$K$19/3</f>
        <v>79.725333333333339</v>
      </c>
      <c r="G19" s="24"/>
      <c r="H19" s="92"/>
      <c r="I19" s="42" t="s">
        <v>236</v>
      </c>
      <c r="J19" s="43">
        <v>0.7</v>
      </c>
      <c r="K19" s="43">
        <v>0.8</v>
      </c>
      <c r="L19" s="43">
        <v>1</v>
      </c>
      <c r="M19" s="43">
        <v>1.05</v>
      </c>
      <c r="N19" s="43"/>
      <c r="O19" s="43"/>
      <c r="P19" s="43"/>
      <c r="Q19" s="43"/>
      <c r="R19" s="43"/>
      <c r="S19" s="43"/>
      <c r="T19" s="43"/>
      <c r="U19" s="43"/>
    </row>
    <row r="20" spans="1:21" x14ac:dyDescent="0.25">
      <c r="A20" s="218"/>
      <c r="B20" s="55" t="s">
        <v>24</v>
      </c>
      <c r="C20" s="34" t="s">
        <v>742</v>
      </c>
      <c r="D20" s="101" t="s">
        <v>777</v>
      </c>
      <c r="E20" s="34" t="s">
        <v>25</v>
      </c>
      <c r="F20" s="40">
        <f>S25*2/3*$L$19+T25/3*$L$19</f>
        <v>80.813333333333333</v>
      </c>
      <c r="G20" s="34"/>
      <c r="H20" s="92"/>
      <c r="I20" s="38" t="s">
        <v>217</v>
      </c>
      <c r="J20" s="44" t="s">
        <v>224</v>
      </c>
      <c r="K20" s="44" t="s">
        <v>225</v>
      </c>
      <c r="L20" s="44" t="s">
        <v>226</v>
      </c>
      <c r="M20" s="44" t="s">
        <v>227</v>
      </c>
      <c r="N20" s="44" t="s">
        <v>228</v>
      </c>
      <c r="O20" s="44" t="s">
        <v>229</v>
      </c>
      <c r="P20" s="44" t="s">
        <v>230</v>
      </c>
      <c r="Q20" s="44" t="s">
        <v>231</v>
      </c>
      <c r="R20" s="44" t="s">
        <v>232</v>
      </c>
      <c r="S20" s="44" t="s">
        <v>233</v>
      </c>
      <c r="T20" s="44" t="s">
        <v>234</v>
      </c>
      <c r="U20" s="44" t="s">
        <v>235</v>
      </c>
    </row>
    <row r="21" spans="1:21" ht="21.75" customHeight="1" x14ac:dyDescent="0.25">
      <c r="A21" s="218"/>
      <c r="B21" s="55" t="s">
        <v>27</v>
      </c>
      <c r="C21" s="34" t="s">
        <v>794</v>
      </c>
      <c r="D21" s="101" t="s">
        <v>778</v>
      </c>
      <c r="E21" s="34" t="s">
        <v>28</v>
      </c>
      <c r="F21" s="40">
        <f>T25*$M$19*2/3+U25*$M$19</f>
        <v>101.4615</v>
      </c>
      <c r="G21" s="34"/>
      <c r="H21" s="183" t="s">
        <v>223</v>
      </c>
      <c r="I21" s="42" t="s">
        <v>218</v>
      </c>
      <c r="J21" s="43">
        <v>45.260000000000005</v>
      </c>
      <c r="K21" s="43">
        <v>51.893333333333324</v>
      </c>
      <c r="L21" s="43">
        <v>71.299999999999983</v>
      </c>
      <c r="M21" s="43">
        <v>88.965517241379345</v>
      </c>
      <c r="N21" s="43">
        <v>114.59666666666666</v>
      </c>
      <c r="O21" s="43">
        <v>116</v>
      </c>
      <c r="P21" s="43">
        <v>121.51999999999998</v>
      </c>
      <c r="Q21" s="43">
        <v>118.11</v>
      </c>
      <c r="R21" s="43">
        <v>102.79999999999998</v>
      </c>
      <c r="S21" s="43">
        <v>88.143333333333331</v>
      </c>
      <c r="T21" s="43">
        <v>62.3</v>
      </c>
      <c r="U21" s="43">
        <v>50.633333333333319</v>
      </c>
    </row>
    <row r="22" spans="1:21" ht="22.5" customHeight="1" x14ac:dyDescent="0.25">
      <c r="A22" s="217" t="s">
        <v>751</v>
      </c>
      <c r="B22" s="55" t="s">
        <v>791</v>
      </c>
      <c r="C22" s="34" t="s">
        <v>722</v>
      </c>
      <c r="D22" s="101" t="s">
        <v>242</v>
      </c>
      <c r="E22" s="24" t="s">
        <v>25</v>
      </c>
      <c r="F22" s="93"/>
      <c r="G22" s="34"/>
      <c r="H22" s="183"/>
      <c r="I22" s="42"/>
      <c r="J22" s="43"/>
      <c r="K22" s="43"/>
      <c r="L22" s="43"/>
      <c r="M22" s="43"/>
      <c r="N22" s="43"/>
      <c r="O22" s="43"/>
      <c r="P22" s="43"/>
      <c r="Q22" s="43"/>
      <c r="R22" s="43"/>
      <c r="S22" s="43"/>
      <c r="T22" s="43"/>
      <c r="U22" s="43"/>
    </row>
    <row r="23" spans="1:21" ht="21.75" customHeight="1" x14ac:dyDescent="0.25">
      <c r="A23" s="218"/>
      <c r="B23" s="55" t="s">
        <v>371</v>
      </c>
      <c r="C23" s="34" t="s">
        <v>792</v>
      </c>
      <c r="D23" s="101" t="s">
        <v>713</v>
      </c>
      <c r="E23" s="24" t="s">
        <v>19</v>
      </c>
      <c r="F23" s="93"/>
      <c r="G23" s="34"/>
      <c r="H23" s="183"/>
      <c r="I23" s="42"/>
      <c r="J23" s="43"/>
      <c r="K23" s="43"/>
      <c r="L23" s="43"/>
      <c r="M23" s="43"/>
      <c r="N23" s="43"/>
      <c r="O23" s="43"/>
      <c r="P23" s="43"/>
      <c r="Q23" s="43"/>
      <c r="R23" s="43"/>
      <c r="S23" s="43"/>
      <c r="T23" s="43"/>
      <c r="U23" s="43"/>
    </row>
    <row r="24" spans="1:21" ht="18.75" customHeight="1" x14ac:dyDescent="0.25">
      <c r="A24" s="218"/>
      <c r="B24" s="55" t="s">
        <v>21</v>
      </c>
      <c r="C24" s="34" t="s">
        <v>793</v>
      </c>
      <c r="D24" s="101" t="s">
        <v>749</v>
      </c>
      <c r="E24" s="24" t="s">
        <v>44</v>
      </c>
      <c r="F24" s="93"/>
      <c r="G24" s="34"/>
      <c r="H24" s="183"/>
      <c r="I24" s="42" t="s">
        <v>219</v>
      </c>
      <c r="J24" s="43">
        <v>49.49666666666667</v>
      </c>
      <c r="K24" s="43">
        <v>52.733333333333341</v>
      </c>
      <c r="L24" s="43">
        <v>72.023333333333341</v>
      </c>
      <c r="M24" s="43">
        <v>91.000000000000028</v>
      </c>
      <c r="N24" s="43">
        <v>119.24666666666664</v>
      </c>
      <c r="O24" s="43">
        <v>126.9</v>
      </c>
      <c r="P24" s="43">
        <v>129.78666666666666</v>
      </c>
      <c r="Q24" s="43">
        <v>123.48333333333335</v>
      </c>
      <c r="R24" s="43">
        <v>107.2</v>
      </c>
      <c r="S24" s="43">
        <v>89.796666666666695</v>
      </c>
      <c r="T24" s="43">
        <v>66.700000000000017</v>
      </c>
      <c r="U24" s="43">
        <v>56.626666666666686</v>
      </c>
    </row>
    <row r="25" spans="1:21" x14ac:dyDescent="0.25">
      <c r="A25" s="218"/>
      <c r="B25" s="55" t="s">
        <v>24</v>
      </c>
      <c r="C25" s="34" t="s">
        <v>742</v>
      </c>
      <c r="D25" s="101" t="s">
        <v>750</v>
      </c>
      <c r="E25" s="34" t="s">
        <v>25</v>
      </c>
      <c r="F25" s="40"/>
      <c r="G25" s="34"/>
      <c r="I25" s="6" t="s">
        <v>220</v>
      </c>
      <c r="J25" s="6">
        <f>AVERAGE(J21:J24)</f>
        <v>47.378333333333337</v>
      </c>
      <c r="K25" s="6">
        <f t="shared" ref="K25:U25" si="0">AVERAGE(K21:K24)</f>
        <v>52.313333333333333</v>
      </c>
      <c r="L25" s="6">
        <f t="shared" si="0"/>
        <v>71.661666666666662</v>
      </c>
      <c r="M25" s="6">
        <f t="shared" si="0"/>
        <v>89.98275862068968</v>
      </c>
      <c r="N25" s="6">
        <f t="shared" si="0"/>
        <v>116.92166666666665</v>
      </c>
      <c r="O25" s="6">
        <f t="shared" si="0"/>
        <v>121.45</v>
      </c>
      <c r="P25" s="6">
        <f t="shared" si="0"/>
        <v>125.65333333333332</v>
      </c>
      <c r="Q25" s="6">
        <f t="shared" si="0"/>
        <v>120.79666666666668</v>
      </c>
      <c r="R25" s="6">
        <f t="shared" si="0"/>
        <v>105</v>
      </c>
      <c r="S25" s="6">
        <f t="shared" si="0"/>
        <v>88.970000000000013</v>
      </c>
      <c r="T25" s="6">
        <f t="shared" si="0"/>
        <v>64.5</v>
      </c>
      <c r="U25" s="6">
        <f t="shared" si="0"/>
        <v>53.63</v>
      </c>
    </row>
    <row r="26" spans="1:21" ht="17.25" customHeight="1" x14ac:dyDescent="0.25">
      <c r="A26" s="218"/>
      <c r="B26" s="55" t="s">
        <v>27</v>
      </c>
      <c r="C26" s="34" t="s">
        <v>794</v>
      </c>
      <c r="D26" s="101" t="s">
        <v>779</v>
      </c>
      <c r="E26" s="34" t="s">
        <v>28</v>
      </c>
      <c r="F26" s="40"/>
      <c r="G26" s="34"/>
    </row>
    <row r="27" spans="1:21" x14ac:dyDescent="0.25">
      <c r="A27" s="216" t="s">
        <v>295</v>
      </c>
      <c r="B27" s="216"/>
      <c r="C27" s="216"/>
      <c r="D27" s="216"/>
      <c r="E27" s="216"/>
      <c r="F27" s="216"/>
    </row>
    <row r="28" spans="1:21" x14ac:dyDescent="0.25">
      <c r="A28" s="178" t="s">
        <v>369</v>
      </c>
      <c r="B28" s="178"/>
      <c r="C28" s="178"/>
      <c r="D28" s="178"/>
      <c r="E28" s="178"/>
      <c r="F28" s="178"/>
      <c r="G28" s="178"/>
    </row>
    <row r="29" spans="1:21" ht="60" customHeight="1" x14ac:dyDescent="0.25">
      <c r="A29" s="207" t="s">
        <v>294</v>
      </c>
      <c r="B29" s="206" t="s">
        <v>367</v>
      </c>
      <c r="C29" s="206"/>
      <c r="D29" s="206"/>
      <c r="E29" s="206"/>
      <c r="F29" s="206"/>
      <c r="G29" s="177" t="s">
        <v>368</v>
      </c>
    </row>
    <row r="30" spans="1:21" ht="60" x14ac:dyDescent="0.25">
      <c r="A30" s="207"/>
      <c r="B30" s="95" t="s">
        <v>370</v>
      </c>
      <c r="C30" s="95" t="s">
        <v>371</v>
      </c>
      <c r="D30" s="95" t="s">
        <v>372</v>
      </c>
      <c r="E30" s="95" t="s">
        <v>24</v>
      </c>
      <c r="F30" s="95" t="s">
        <v>27</v>
      </c>
      <c r="G30" s="95" t="s">
        <v>343</v>
      </c>
      <c r="H30" s="178"/>
      <c r="I30" s="178"/>
      <c r="J30" s="45"/>
    </row>
    <row r="31" spans="1:21" ht="43.5" customHeight="1" x14ac:dyDescent="0.25">
      <c r="A31" s="82" t="s">
        <v>308</v>
      </c>
      <c r="B31" s="14"/>
      <c r="C31" s="14" t="s">
        <v>341</v>
      </c>
      <c r="D31" s="14" t="s">
        <v>341</v>
      </c>
      <c r="E31" s="14" t="s">
        <v>341</v>
      </c>
      <c r="F31" s="14" t="s">
        <v>341</v>
      </c>
      <c r="G31" s="36" t="s">
        <v>376</v>
      </c>
      <c r="H31" s="177"/>
      <c r="I31" s="177"/>
      <c r="J31" s="85"/>
    </row>
    <row r="32" spans="1:21" ht="45" x14ac:dyDescent="0.25">
      <c r="A32" s="82" t="s">
        <v>309</v>
      </c>
      <c r="B32" s="14"/>
      <c r="C32" s="14" t="s">
        <v>341</v>
      </c>
      <c r="D32" s="14" t="s">
        <v>341</v>
      </c>
      <c r="E32" s="14" t="s">
        <v>341</v>
      </c>
      <c r="F32" s="14" t="s">
        <v>341</v>
      </c>
      <c r="G32" s="34" t="s">
        <v>243</v>
      </c>
      <c r="H32" s="95" t="s">
        <v>344</v>
      </c>
      <c r="I32" s="95" t="s">
        <v>345</v>
      </c>
    </row>
    <row r="33" spans="1:10" ht="15.75" x14ac:dyDescent="0.25">
      <c r="A33" s="82" t="s">
        <v>310</v>
      </c>
      <c r="B33" s="14"/>
      <c r="C33" s="14" t="s">
        <v>341</v>
      </c>
      <c r="D33" s="14" t="s">
        <v>341</v>
      </c>
      <c r="E33" s="14" t="s">
        <v>341</v>
      </c>
      <c r="F33" s="14" t="s">
        <v>341</v>
      </c>
      <c r="G33" s="36" t="s">
        <v>243</v>
      </c>
      <c r="H33" s="34" t="s">
        <v>378</v>
      </c>
      <c r="I33" s="84" t="s">
        <v>375</v>
      </c>
    </row>
    <row r="34" spans="1:10" ht="15.75" x14ac:dyDescent="0.25">
      <c r="A34" s="82" t="s">
        <v>311</v>
      </c>
      <c r="B34" s="14" t="s">
        <v>341</v>
      </c>
      <c r="C34" s="14" t="s">
        <v>341</v>
      </c>
      <c r="D34" s="14" t="s">
        <v>341</v>
      </c>
      <c r="E34" s="14"/>
      <c r="F34" s="14"/>
      <c r="G34" s="34" t="s">
        <v>243</v>
      </c>
      <c r="H34" s="34" t="s">
        <v>379</v>
      </c>
      <c r="I34" s="29" t="s">
        <v>377</v>
      </c>
    </row>
    <row r="35" spans="1:10" ht="285" x14ac:dyDescent="0.25">
      <c r="A35" s="88" t="s">
        <v>384</v>
      </c>
      <c r="B35" s="89" t="s">
        <v>432</v>
      </c>
      <c r="C35" s="88"/>
      <c r="D35" s="88"/>
      <c r="E35" s="88"/>
      <c r="F35" s="88"/>
      <c r="G35" s="88"/>
      <c r="H35" s="36" t="s">
        <v>373</v>
      </c>
      <c r="I35" s="84" t="s">
        <v>374</v>
      </c>
    </row>
    <row r="36" spans="1:10" x14ac:dyDescent="0.25">
      <c r="A36" s="101" t="s">
        <v>600</v>
      </c>
      <c r="B36" s="34"/>
      <c r="C36" s="107" t="s">
        <v>341</v>
      </c>
      <c r="D36" s="107"/>
      <c r="E36" s="107"/>
      <c r="F36" s="107"/>
      <c r="G36" s="34" t="s">
        <v>408</v>
      </c>
      <c r="H36" s="34" t="s">
        <v>380</v>
      </c>
      <c r="I36" s="29" t="s">
        <v>381</v>
      </c>
    </row>
    <row r="37" spans="1:10" s="88" customFormat="1" ht="24" customHeight="1" x14ac:dyDescent="0.25">
      <c r="A37" s="101" t="s">
        <v>585</v>
      </c>
      <c r="B37" s="34"/>
      <c r="C37" s="107"/>
      <c r="D37" s="107"/>
      <c r="E37" s="107"/>
      <c r="F37" s="107" t="s">
        <v>341</v>
      </c>
      <c r="G37" t="s">
        <v>616</v>
      </c>
    </row>
    <row r="38" spans="1:10" ht="33.75" customHeight="1" x14ac:dyDescent="0.25">
      <c r="A38" s="101" t="s">
        <v>586</v>
      </c>
      <c r="B38" s="34"/>
      <c r="C38" s="107" t="s">
        <v>341</v>
      </c>
      <c r="D38" s="107" t="s">
        <v>341</v>
      </c>
      <c r="E38" s="107" t="s">
        <v>341</v>
      </c>
      <c r="F38" s="107" t="s">
        <v>341</v>
      </c>
      <c r="G38" s="34" t="s">
        <v>614</v>
      </c>
      <c r="H38" s="34" t="s">
        <v>617</v>
      </c>
      <c r="I38" s="34"/>
    </row>
    <row r="39" spans="1:10" ht="33" customHeight="1" x14ac:dyDescent="0.25">
      <c r="A39" s="101" t="s">
        <v>587</v>
      </c>
      <c r="B39" s="34"/>
      <c r="C39" s="107"/>
      <c r="D39" s="107" t="s">
        <v>341</v>
      </c>
      <c r="E39" s="107" t="s">
        <v>341</v>
      </c>
      <c r="F39" s="107" t="s">
        <v>341</v>
      </c>
      <c r="G39" s="34" t="s">
        <v>619</v>
      </c>
      <c r="H39" s="34" t="s">
        <v>605</v>
      </c>
      <c r="I39" s="34" t="s">
        <v>606</v>
      </c>
      <c r="J39" s="127" t="s">
        <v>615</v>
      </c>
    </row>
    <row r="40" spans="1:10" x14ac:dyDescent="0.25">
      <c r="H40" s="34" t="s">
        <v>613</v>
      </c>
      <c r="I40" t="s">
        <v>612</v>
      </c>
    </row>
    <row r="41" spans="1:10" ht="23.25" customHeight="1" x14ac:dyDescent="0.25">
      <c r="H41" s="34" t="s">
        <v>620</v>
      </c>
      <c r="I41" s="126" t="s">
        <v>621</v>
      </c>
      <c r="J41" s="88" t="s">
        <v>618</v>
      </c>
    </row>
    <row r="42" spans="1:10" x14ac:dyDescent="0.25">
      <c r="I42"/>
    </row>
    <row r="43" spans="1:10" x14ac:dyDescent="0.25">
      <c r="I43"/>
    </row>
  </sheetData>
  <mergeCells count="16">
    <mergeCell ref="J17:U17"/>
    <mergeCell ref="H21:H24"/>
    <mergeCell ref="I3:I11"/>
    <mergeCell ref="F12:I12"/>
    <mergeCell ref="A12:E12"/>
    <mergeCell ref="H3:H11"/>
    <mergeCell ref="A17:A21"/>
    <mergeCell ref="A22:A26"/>
    <mergeCell ref="A29:A30"/>
    <mergeCell ref="B29:F29"/>
    <mergeCell ref="F1:I1"/>
    <mergeCell ref="F3:F11"/>
    <mergeCell ref="A1:E1"/>
    <mergeCell ref="G3:G11"/>
    <mergeCell ref="A15:C15"/>
    <mergeCell ref="A27:F27"/>
  </mergeCells>
  <hyperlinks>
    <hyperlink ref="J39" r:id="rId1"/>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37"/>
  <sheetViews>
    <sheetView topLeftCell="A7" zoomScaleNormal="100" workbookViewId="0">
      <selection activeCell="C20" sqref="C20"/>
    </sheetView>
  </sheetViews>
  <sheetFormatPr defaultRowHeight="15" x14ac:dyDescent="0.25"/>
  <cols>
    <col min="1" max="1" width="23.7109375" bestFit="1" customWidth="1"/>
    <col min="2" max="2" width="20.140625" bestFit="1" customWidth="1"/>
    <col min="3" max="3" width="22.42578125" bestFit="1" customWidth="1"/>
    <col min="4" max="4" width="18.140625" customWidth="1"/>
    <col min="5" max="5" width="37.140625" bestFit="1" customWidth="1"/>
    <col min="6" max="6" width="11.42578125" bestFit="1" customWidth="1"/>
    <col min="7" max="7" width="7.28515625" bestFit="1" customWidth="1"/>
    <col min="8" max="8" width="14.7109375" customWidth="1"/>
    <col min="9" max="9" width="12.28515625" customWidth="1"/>
    <col min="10" max="13" width="10.140625" bestFit="1" customWidth="1"/>
    <col min="14" max="14" width="9.140625" bestFit="1" customWidth="1"/>
    <col min="15" max="16" width="10.140625" bestFit="1" customWidth="1"/>
    <col min="17" max="17" width="9.140625" bestFit="1" customWidth="1"/>
    <col min="18" max="18" width="10.140625" bestFit="1" customWidth="1"/>
    <col min="19" max="19" width="9.140625" bestFit="1" customWidth="1"/>
    <col min="20" max="20" width="10.140625" bestFit="1" customWidth="1"/>
  </cols>
  <sheetData>
    <row r="1" spans="1:20" x14ac:dyDescent="0.25">
      <c r="A1" s="219" t="s">
        <v>80</v>
      </c>
      <c r="B1" s="219"/>
      <c r="C1" s="219"/>
      <c r="D1" s="219"/>
      <c r="E1" s="219"/>
      <c r="F1" s="207" t="s">
        <v>3</v>
      </c>
      <c r="G1" s="207"/>
      <c r="H1" s="207"/>
      <c r="I1" s="207"/>
      <c r="J1" s="25"/>
      <c r="K1" s="25"/>
      <c r="L1" s="25"/>
      <c r="M1" s="25"/>
      <c r="N1" s="25"/>
      <c r="O1" s="25"/>
      <c r="P1" s="25"/>
      <c r="Q1" s="25"/>
      <c r="R1" s="25"/>
      <c r="S1" s="25"/>
      <c r="T1" s="25"/>
    </row>
    <row r="2" spans="1:20" ht="105" x14ac:dyDescent="0.25">
      <c r="A2" s="19" t="s">
        <v>61</v>
      </c>
      <c r="B2" s="19" t="s">
        <v>13</v>
      </c>
      <c r="C2" s="19" t="s">
        <v>6</v>
      </c>
      <c r="D2" s="19" t="s">
        <v>7</v>
      </c>
      <c r="E2" s="20" t="s">
        <v>14</v>
      </c>
      <c r="F2" s="4" t="s">
        <v>53</v>
      </c>
      <c r="G2" s="4" t="s">
        <v>4</v>
      </c>
      <c r="H2" s="4" t="s">
        <v>5</v>
      </c>
      <c r="I2" s="4" t="s">
        <v>55</v>
      </c>
      <c r="J2" s="25"/>
      <c r="K2" s="25"/>
      <c r="L2" s="25"/>
      <c r="M2" s="25"/>
      <c r="N2" s="25"/>
      <c r="O2" s="25"/>
      <c r="P2" s="25"/>
      <c r="Q2" s="25"/>
      <c r="R2" s="25"/>
      <c r="S2" s="25"/>
      <c r="T2" s="25"/>
    </row>
    <row r="3" spans="1:20" ht="30" x14ac:dyDescent="0.25">
      <c r="A3" s="19" t="s">
        <v>15</v>
      </c>
      <c r="B3" s="21" t="s">
        <v>62</v>
      </c>
      <c r="C3" s="21" t="s">
        <v>76</v>
      </c>
      <c r="D3" s="21" t="s">
        <v>43</v>
      </c>
      <c r="E3" s="22" t="s">
        <v>64</v>
      </c>
      <c r="F3" s="206" t="s">
        <v>81</v>
      </c>
      <c r="G3" s="206" t="s">
        <v>82</v>
      </c>
      <c r="H3" s="206" t="s">
        <v>83</v>
      </c>
      <c r="I3" s="206" t="s">
        <v>84</v>
      </c>
      <c r="J3" s="25"/>
      <c r="K3" s="25"/>
      <c r="L3" s="25"/>
      <c r="M3" s="25"/>
      <c r="N3" s="25"/>
      <c r="O3" s="25"/>
      <c r="P3" s="25"/>
      <c r="Q3" s="25"/>
      <c r="R3" s="25"/>
      <c r="S3" s="25"/>
      <c r="T3" s="25"/>
    </row>
    <row r="4" spans="1:20" ht="30" x14ac:dyDescent="0.25">
      <c r="A4" s="19" t="s">
        <v>48</v>
      </c>
      <c r="B4" s="21" t="s">
        <v>65</v>
      </c>
      <c r="C4" s="21" t="s">
        <v>76</v>
      </c>
      <c r="D4" s="21" t="s">
        <v>79</v>
      </c>
      <c r="E4" s="22" t="s">
        <v>66</v>
      </c>
      <c r="F4" s="206"/>
      <c r="G4" s="206"/>
      <c r="H4" s="206"/>
      <c r="I4" s="206"/>
      <c r="J4" s="25"/>
      <c r="K4" s="25"/>
      <c r="L4" s="25"/>
      <c r="M4" s="25"/>
      <c r="N4" s="25"/>
      <c r="O4" s="25"/>
      <c r="P4" s="25"/>
      <c r="Q4" s="25"/>
      <c r="R4" s="25"/>
      <c r="S4" s="25"/>
      <c r="T4" s="25"/>
    </row>
    <row r="5" spans="1:20" x14ac:dyDescent="0.25">
      <c r="A5" s="19" t="s">
        <v>67</v>
      </c>
      <c r="B5" s="21" t="s">
        <v>68</v>
      </c>
      <c r="C5" s="21" t="s">
        <v>77</v>
      </c>
      <c r="D5" s="21" t="s">
        <v>43</v>
      </c>
      <c r="E5" s="22" t="s">
        <v>69</v>
      </c>
      <c r="F5" s="206"/>
      <c r="G5" s="206"/>
      <c r="H5" s="206"/>
      <c r="I5" s="206"/>
      <c r="J5" s="25"/>
      <c r="K5" s="25"/>
      <c r="L5" s="25"/>
      <c r="M5" s="25"/>
      <c r="N5" s="25"/>
      <c r="O5" s="25"/>
      <c r="P5" s="25"/>
      <c r="Q5" s="25"/>
      <c r="R5" s="25"/>
      <c r="S5" s="25"/>
      <c r="T5" s="25"/>
    </row>
    <row r="6" spans="1:20" ht="30" x14ac:dyDescent="0.25">
      <c r="A6" s="19" t="s">
        <v>70</v>
      </c>
      <c r="B6" s="21" t="s">
        <v>75</v>
      </c>
      <c r="C6" s="21" t="s">
        <v>78</v>
      </c>
      <c r="D6" s="21" t="s">
        <v>71</v>
      </c>
      <c r="E6" s="22" t="s">
        <v>72</v>
      </c>
      <c r="F6" s="206"/>
      <c r="G6" s="206"/>
      <c r="H6" s="206"/>
      <c r="I6" s="206"/>
      <c r="J6" s="25"/>
      <c r="K6" s="25"/>
      <c r="L6" s="25"/>
      <c r="M6" s="25"/>
      <c r="N6" s="25"/>
      <c r="O6" s="25"/>
      <c r="P6" s="25"/>
      <c r="Q6" s="25"/>
      <c r="R6" s="25"/>
      <c r="S6" s="25"/>
      <c r="T6" s="25"/>
    </row>
    <row r="7" spans="1:20" ht="45" x14ac:dyDescent="0.25">
      <c r="A7" s="19" t="s">
        <v>73</v>
      </c>
      <c r="B7" s="21" t="s">
        <v>75</v>
      </c>
      <c r="C7" s="21">
        <v>3</v>
      </c>
      <c r="D7" s="21" t="s">
        <v>45</v>
      </c>
      <c r="E7" s="22" t="s">
        <v>74</v>
      </c>
      <c r="F7" s="206"/>
      <c r="G7" s="206"/>
      <c r="H7" s="206"/>
      <c r="I7" s="206"/>
      <c r="J7" s="25"/>
      <c r="K7" s="25"/>
      <c r="L7" s="25"/>
      <c r="M7" s="25"/>
      <c r="N7" s="25"/>
      <c r="O7" s="25"/>
      <c r="P7" s="25"/>
      <c r="Q7" s="25"/>
      <c r="R7" s="25"/>
      <c r="S7" s="25"/>
      <c r="T7" s="25"/>
    </row>
    <row r="8" spans="1:20" x14ac:dyDescent="0.25">
      <c r="A8" s="180" t="s">
        <v>50</v>
      </c>
      <c r="B8" s="180"/>
      <c r="C8" s="180"/>
      <c r="D8" s="180"/>
      <c r="E8" s="180"/>
      <c r="F8" s="180" t="s">
        <v>60</v>
      </c>
      <c r="G8" s="180"/>
      <c r="H8" s="180"/>
      <c r="I8" s="180"/>
      <c r="J8" s="25"/>
      <c r="K8" s="25"/>
      <c r="L8" s="25"/>
      <c r="M8" s="25"/>
      <c r="N8" s="25"/>
      <c r="O8" s="25"/>
      <c r="P8" s="25"/>
      <c r="Q8" s="25"/>
      <c r="R8" s="25"/>
      <c r="S8" s="25"/>
      <c r="T8" s="25"/>
    </row>
    <row r="9" spans="1:20" x14ac:dyDescent="0.25">
      <c r="A9" s="215" t="s">
        <v>204</v>
      </c>
      <c r="B9" s="215"/>
      <c r="C9" s="215"/>
      <c r="D9" s="25"/>
      <c r="E9" s="25"/>
      <c r="F9" s="25"/>
      <c r="G9" s="25"/>
      <c r="H9" s="25"/>
      <c r="I9" s="25"/>
      <c r="J9" s="25"/>
      <c r="K9" s="25"/>
      <c r="L9" s="25"/>
      <c r="M9" s="25"/>
      <c r="N9" s="25"/>
      <c r="O9" s="25"/>
      <c r="P9" s="25"/>
      <c r="Q9" s="25"/>
      <c r="R9" s="25"/>
      <c r="S9" s="25"/>
      <c r="T9" s="25"/>
    </row>
    <row r="10" spans="1:20" ht="30" x14ac:dyDescent="0.25">
      <c r="A10" s="80" t="s">
        <v>195</v>
      </c>
      <c r="B10" s="80" t="s">
        <v>196</v>
      </c>
      <c r="C10" s="81" t="s">
        <v>649</v>
      </c>
      <c r="D10" s="36" t="s">
        <v>197</v>
      </c>
      <c r="E10" s="36" t="s">
        <v>214</v>
      </c>
      <c r="F10" s="36" t="s">
        <v>215</v>
      </c>
      <c r="G10" s="25"/>
      <c r="H10" s="25"/>
      <c r="I10" s="25"/>
      <c r="J10" s="25"/>
      <c r="K10" s="25"/>
      <c r="L10" s="25"/>
      <c r="M10" s="25"/>
      <c r="N10" s="25"/>
      <c r="O10" s="25"/>
      <c r="P10" s="25"/>
      <c r="Q10" s="25"/>
      <c r="R10" s="25"/>
      <c r="S10" s="25"/>
      <c r="T10" s="25"/>
    </row>
    <row r="11" spans="1:20" ht="27.75" customHeight="1" x14ac:dyDescent="0.25">
      <c r="A11" s="220" t="s">
        <v>645</v>
      </c>
      <c r="B11" s="55" t="s">
        <v>18</v>
      </c>
      <c r="C11" s="134" t="s">
        <v>781</v>
      </c>
      <c r="D11" s="105" t="s">
        <v>646</v>
      </c>
      <c r="E11" s="124" t="s">
        <v>252</v>
      </c>
      <c r="F11" s="133">
        <f>O17*$I$13*2/3</f>
        <v>58.638222222222218</v>
      </c>
      <c r="G11" s="35"/>
      <c r="H11" s="35"/>
      <c r="I11" s="185" t="s">
        <v>215</v>
      </c>
      <c r="J11" s="185"/>
      <c r="K11" s="185"/>
      <c r="L11" s="185"/>
      <c r="M11" s="185"/>
      <c r="N11" s="185"/>
      <c r="O11" s="185"/>
      <c r="P11" s="185"/>
      <c r="Q11" s="185"/>
      <c r="R11" s="185"/>
      <c r="S11" s="185"/>
      <c r="T11" s="185"/>
    </row>
    <row r="12" spans="1:20" ht="24" customHeight="1" x14ac:dyDescent="0.25">
      <c r="A12" s="221"/>
      <c r="B12" s="55" t="s">
        <v>208</v>
      </c>
      <c r="C12" s="134" t="s">
        <v>741</v>
      </c>
      <c r="D12" s="105" t="s">
        <v>780</v>
      </c>
      <c r="E12" s="124" t="s">
        <v>253</v>
      </c>
      <c r="F12" s="124">
        <f>O17*$J$13*1/3</f>
        <v>31.41333333333333</v>
      </c>
      <c r="G12" s="91"/>
      <c r="H12" s="38" t="s">
        <v>0</v>
      </c>
      <c r="I12" s="38" t="s">
        <v>240</v>
      </c>
      <c r="J12" s="44" t="s">
        <v>248</v>
      </c>
      <c r="K12" s="44" t="s">
        <v>24</v>
      </c>
      <c r="L12" s="44" t="s">
        <v>249</v>
      </c>
      <c r="M12" s="44"/>
      <c r="N12" s="38"/>
      <c r="O12" s="38"/>
      <c r="P12" s="38"/>
      <c r="Q12" s="44"/>
      <c r="R12" s="44"/>
      <c r="S12" s="38"/>
      <c r="T12" s="38"/>
    </row>
    <row r="13" spans="1:20" ht="30" customHeight="1" x14ac:dyDescent="0.25">
      <c r="A13" s="221"/>
      <c r="B13" s="55" t="s">
        <v>648</v>
      </c>
      <c r="C13" s="134" t="s">
        <v>782</v>
      </c>
      <c r="D13" s="105" t="s">
        <v>785</v>
      </c>
      <c r="E13" s="124" t="s">
        <v>254</v>
      </c>
      <c r="F13" s="124">
        <f>P17*$K$13*2/3</f>
        <v>72.478000000000009</v>
      </c>
      <c r="G13" s="92"/>
      <c r="H13" s="42" t="s">
        <v>236</v>
      </c>
      <c r="I13" s="43">
        <v>0.7</v>
      </c>
      <c r="J13" s="43">
        <v>0.75</v>
      </c>
      <c r="K13" s="43">
        <v>0.9</v>
      </c>
      <c r="L13" s="43">
        <v>1.05</v>
      </c>
      <c r="M13" s="43"/>
      <c r="N13" s="43"/>
      <c r="O13" s="43"/>
      <c r="P13" s="43"/>
      <c r="Q13" s="43"/>
      <c r="R13" s="43"/>
      <c r="S13" s="43"/>
      <c r="T13" s="43"/>
    </row>
    <row r="14" spans="1:20" ht="27" customHeight="1" x14ac:dyDescent="0.25">
      <c r="A14" s="221"/>
      <c r="B14" s="55" t="s">
        <v>205</v>
      </c>
      <c r="C14" s="134" t="s">
        <v>783</v>
      </c>
      <c r="D14" s="105" t="s">
        <v>719</v>
      </c>
      <c r="E14" s="124" t="s">
        <v>254</v>
      </c>
      <c r="F14" s="124">
        <f>P17*$L$13*1/3+Q17*$L$13*1/3</f>
        <v>79.028833333333338</v>
      </c>
      <c r="G14" s="92"/>
      <c r="H14" s="38" t="s">
        <v>217</v>
      </c>
      <c r="I14" s="44" t="s">
        <v>224</v>
      </c>
      <c r="J14" s="44" t="s">
        <v>225</v>
      </c>
      <c r="K14" s="44" t="s">
        <v>226</v>
      </c>
      <c r="L14" s="44" t="s">
        <v>227</v>
      </c>
      <c r="M14" s="44" t="s">
        <v>228</v>
      </c>
      <c r="N14" s="44" t="s">
        <v>229</v>
      </c>
      <c r="O14" s="44" t="s">
        <v>230</v>
      </c>
      <c r="P14" s="44" t="s">
        <v>231</v>
      </c>
      <c r="Q14" s="44" t="s">
        <v>232</v>
      </c>
      <c r="R14" s="44" t="s">
        <v>233</v>
      </c>
      <c r="S14" s="44" t="s">
        <v>234</v>
      </c>
      <c r="T14" s="44" t="s">
        <v>235</v>
      </c>
    </row>
    <row r="15" spans="1:20" ht="27" customHeight="1" x14ac:dyDescent="0.25">
      <c r="A15" s="222"/>
      <c r="B15" s="55" t="s">
        <v>647</v>
      </c>
      <c r="C15" s="134" t="s">
        <v>784</v>
      </c>
      <c r="D15" s="105" t="s">
        <v>712</v>
      </c>
      <c r="E15" s="158" t="s">
        <v>254</v>
      </c>
      <c r="F15" s="124"/>
      <c r="G15" s="183" t="s">
        <v>223</v>
      </c>
      <c r="H15" s="42" t="s">
        <v>218</v>
      </c>
      <c r="I15" s="43">
        <v>45.260000000000005</v>
      </c>
      <c r="J15" s="43">
        <v>51.893333333333324</v>
      </c>
      <c r="K15" s="43">
        <v>71.299999999999983</v>
      </c>
      <c r="L15" s="43">
        <v>88.965517241379345</v>
      </c>
      <c r="M15" s="43">
        <v>114.59666666666666</v>
      </c>
      <c r="N15" s="43">
        <v>116</v>
      </c>
      <c r="O15" s="43">
        <v>121.51999999999998</v>
      </c>
      <c r="P15" s="43">
        <v>118.11</v>
      </c>
      <c r="Q15" s="43">
        <v>102.79999999999998</v>
      </c>
      <c r="R15" s="43">
        <v>88.143333333333331</v>
      </c>
      <c r="S15" s="43">
        <v>62.3</v>
      </c>
      <c r="T15" s="43">
        <v>50.633333333333319</v>
      </c>
    </row>
    <row r="16" spans="1:20" ht="26.25" customHeight="1" x14ac:dyDescent="0.25">
      <c r="A16" s="223" t="s">
        <v>787</v>
      </c>
      <c r="B16" s="55" t="s">
        <v>18</v>
      </c>
      <c r="C16" s="134" t="s">
        <v>781</v>
      </c>
      <c r="D16" s="105" t="s">
        <v>786</v>
      </c>
      <c r="E16" s="158" t="s">
        <v>253</v>
      </c>
      <c r="F16" s="124">
        <f>R17*$J$13*1/3</f>
        <v>22.242500000000003</v>
      </c>
      <c r="G16" s="183"/>
      <c r="H16" s="42" t="s">
        <v>219</v>
      </c>
      <c r="I16" s="43">
        <v>49.49666666666667</v>
      </c>
      <c r="J16" s="43">
        <v>52.733333333333341</v>
      </c>
      <c r="K16" s="43">
        <v>72.023333333333341</v>
      </c>
      <c r="L16" s="43">
        <v>91.000000000000028</v>
      </c>
      <c r="M16" s="43">
        <v>119.24666666666664</v>
      </c>
      <c r="N16" s="43">
        <v>126.9</v>
      </c>
      <c r="O16" s="43">
        <v>129.78666666666666</v>
      </c>
      <c r="P16" s="43">
        <v>123.48333333333335</v>
      </c>
      <c r="Q16" s="43">
        <v>107.2</v>
      </c>
      <c r="R16" s="43">
        <v>89.796666666666695</v>
      </c>
      <c r="S16" s="43">
        <v>66.700000000000017</v>
      </c>
      <c r="T16" s="43">
        <v>56.626666666666686</v>
      </c>
    </row>
    <row r="17" spans="1:20" ht="26.25" customHeight="1" x14ac:dyDescent="0.25">
      <c r="A17" s="224"/>
      <c r="B17" s="55" t="s">
        <v>208</v>
      </c>
      <c r="C17" s="134" t="s">
        <v>741</v>
      </c>
      <c r="D17" s="105" t="s">
        <v>788</v>
      </c>
      <c r="E17" s="158" t="s">
        <v>254</v>
      </c>
      <c r="F17" s="124">
        <f>R17*$K$13*2/3</f>
        <v>53.382000000000005</v>
      </c>
      <c r="G17" s="6"/>
      <c r="H17" s="6" t="s">
        <v>220</v>
      </c>
      <c r="I17" s="6">
        <f>AVERAGE(I15:I16)</f>
        <v>47.378333333333337</v>
      </c>
      <c r="J17" s="6">
        <f t="shared" ref="J17:T17" si="0">AVERAGE(J15:J16)</f>
        <v>52.313333333333333</v>
      </c>
      <c r="K17" s="6">
        <f t="shared" si="0"/>
        <v>71.661666666666662</v>
      </c>
      <c r="L17" s="6">
        <f t="shared" si="0"/>
        <v>89.98275862068968</v>
      </c>
      <c r="M17" s="6">
        <f t="shared" si="0"/>
        <v>116.92166666666665</v>
      </c>
      <c r="N17" s="6">
        <f t="shared" si="0"/>
        <v>121.45</v>
      </c>
      <c r="O17" s="6">
        <f t="shared" si="0"/>
        <v>125.65333333333332</v>
      </c>
      <c r="P17" s="6">
        <f t="shared" si="0"/>
        <v>120.79666666666668</v>
      </c>
      <c r="Q17" s="6">
        <f t="shared" si="0"/>
        <v>105</v>
      </c>
      <c r="R17" s="6">
        <f t="shared" si="0"/>
        <v>88.970000000000013</v>
      </c>
      <c r="S17" s="6">
        <f t="shared" si="0"/>
        <v>64.5</v>
      </c>
      <c r="T17" s="6">
        <f t="shared" si="0"/>
        <v>53.63</v>
      </c>
    </row>
    <row r="18" spans="1:20" ht="21.75" customHeight="1" x14ac:dyDescent="0.25">
      <c r="A18" s="224"/>
      <c r="B18" s="55" t="s">
        <v>648</v>
      </c>
      <c r="C18" s="134" t="s">
        <v>782</v>
      </c>
      <c r="D18" s="105" t="s">
        <v>789</v>
      </c>
      <c r="E18" s="158" t="s">
        <v>254</v>
      </c>
      <c r="F18" s="124"/>
      <c r="G18" s="56"/>
      <c r="H18" s="56"/>
      <c r="I18" s="25"/>
      <c r="J18" s="25"/>
      <c r="K18" s="25"/>
      <c r="L18" s="25"/>
      <c r="M18" s="25"/>
      <c r="N18" s="25"/>
      <c r="O18" s="25"/>
      <c r="P18" s="25"/>
      <c r="Q18" s="25"/>
      <c r="R18" s="25"/>
      <c r="S18" s="25"/>
      <c r="T18" s="25"/>
    </row>
    <row r="19" spans="1:20" ht="28.5" customHeight="1" x14ac:dyDescent="0.25">
      <c r="A19" s="224"/>
      <c r="B19" s="55" t="s">
        <v>205</v>
      </c>
      <c r="C19" s="134" t="s">
        <v>783</v>
      </c>
      <c r="D19" s="105" t="s">
        <v>778</v>
      </c>
      <c r="E19" s="158" t="s">
        <v>254</v>
      </c>
      <c r="F19" s="124"/>
      <c r="G19" s="25"/>
      <c r="H19" s="25"/>
      <c r="I19" s="25"/>
      <c r="J19" s="25"/>
      <c r="K19" s="25"/>
      <c r="L19" s="25"/>
      <c r="M19" s="25"/>
      <c r="N19" s="25"/>
      <c r="O19" s="25"/>
      <c r="P19" s="25"/>
      <c r="Q19" s="25"/>
      <c r="R19" s="25"/>
      <c r="S19" s="25"/>
      <c r="T19" s="25"/>
    </row>
    <row r="20" spans="1:20" ht="24" customHeight="1" x14ac:dyDescent="0.25">
      <c r="A20" s="225"/>
      <c r="B20" s="55" t="s">
        <v>647</v>
      </c>
      <c r="C20" s="134" t="s">
        <v>784</v>
      </c>
      <c r="D20" s="105" t="s">
        <v>790</v>
      </c>
      <c r="E20" s="124" t="s">
        <v>254</v>
      </c>
      <c r="F20" s="124">
        <f>S17*$L$13*2/3</f>
        <v>45.150000000000006</v>
      </c>
      <c r="G20" s="25"/>
      <c r="H20" s="25"/>
      <c r="I20" s="25"/>
      <c r="J20" s="25"/>
      <c r="K20" s="25"/>
      <c r="L20" s="25"/>
      <c r="M20" s="25"/>
      <c r="N20" s="25"/>
      <c r="O20" s="25"/>
      <c r="P20" s="25"/>
      <c r="Q20" s="25"/>
      <c r="R20" s="25"/>
      <c r="S20" s="25"/>
      <c r="T20" s="25"/>
    </row>
    <row r="21" spans="1:20" ht="19.5" customHeight="1" x14ac:dyDescent="0.25">
      <c r="A21" s="23"/>
      <c r="B21" s="179"/>
      <c r="C21" s="179"/>
      <c r="D21" s="179"/>
      <c r="E21" s="30" t="s">
        <v>255</v>
      </c>
      <c r="F21" s="25"/>
      <c r="G21" s="25"/>
      <c r="H21" s="25"/>
      <c r="I21" s="25"/>
      <c r="J21" s="25"/>
      <c r="K21" s="25"/>
      <c r="L21" s="25"/>
      <c r="M21" s="25"/>
      <c r="N21" s="25"/>
      <c r="O21" s="25"/>
      <c r="P21" s="25"/>
      <c r="Q21" s="25"/>
      <c r="R21" s="25"/>
      <c r="S21" s="25"/>
      <c r="T21" s="25"/>
    </row>
    <row r="22" spans="1:20" ht="25.5" customHeight="1" x14ac:dyDescent="0.25">
      <c r="A22" s="23"/>
      <c r="B22" s="130"/>
      <c r="C22" s="130"/>
      <c r="D22" s="130"/>
      <c r="E22" s="130"/>
      <c r="F22" s="130"/>
      <c r="G22" s="138"/>
      <c r="H22" s="138"/>
      <c r="I22" s="132"/>
      <c r="J22" s="25"/>
      <c r="K22" s="25"/>
      <c r="L22" s="25"/>
      <c r="M22" s="25"/>
      <c r="N22" s="25"/>
      <c r="O22" s="25"/>
      <c r="P22" s="25"/>
      <c r="Q22" s="25"/>
      <c r="R22" s="25"/>
      <c r="S22" s="25"/>
      <c r="T22" s="25"/>
    </row>
    <row r="23" spans="1:20" ht="15" customHeight="1" x14ac:dyDescent="0.25">
      <c r="A23" s="179" t="s">
        <v>296</v>
      </c>
      <c r="B23" s="206" t="s">
        <v>367</v>
      </c>
      <c r="C23" s="206"/>
      <c r="D23" s="206"/>
      <c r="E23" s="206"/>
      <c r="F23" s="131" t="s">
        <v>368</v>
      </c>
      <c r="G23" s="139"/>
      <c r="H23" s="137"/>
      <c r="I23" s="25"/>
      <c r="J23" s="25"/>
      <c r="K23" s="25"/>
      <c r="L23" s="25"/>
      <c r="M23" s="25"/>
      <c r="N23" s="25"/>
      <c r="O23" s="25"/>
      <c r="P23" s="25"/>
      <c r="Q23" s="25"/>
      <c r="R23" s="25"/>
      <c r="S23" s="25"/>
      <c r="T23" s="25"/>
    </row>
    <row r="24" spans="1:20" ht="60" x14ac:dyDescent="0.25">
      <c r="A24" s="129" t="s">
        <v>392</v>
      </c>
      <c r="B24" s="55" t="s">
        <v>603</v>
      </c>
      <c r="C24" s="55" t="s">
        <v>207</v>
      </c>
      <c r="D24" s="55" t="s">
        <v>601</v>
      </c>
      <c r="E24" s="55" t="s">
        <v>602</v>
      </c>
      <c r="F24" s="4" t="s">
        <v>343</v>
      </c>
      <c r="G24" s="4" t="s">
        <v>344</v>
      </c>
      <c r="H24" s="4" t="s">
        <v>345</v>
      </c>
      <c r="I24" s="25"/>
      <c r="J24" s="25"/>
      <c r="K24" s="25"/>
      <c r="L24" s="25"/>
      <c r="M24" s="25"/>
      <c r="N24" s="25"/>
      <c r="O24" s="25"/>
      <c r="P24" s="25"/>
      <c r="Q24" s="25"/>
      <c r="R24" s="25"/>
      <c r="S24" s="25"/>
      <c r="T24" s="25"/>
    </row>
    <row r="25" spans="1:20" x14ac:dyDescent="0.25">
      <c r="A25" s="207" t="s">
        <v>294</v>
      </c>
      <c r="B25" s="29" t="s">
        <v>341</v>
      </c>
      <c r="C25" s="29" t="s">
        <v>341</v>
      </c>
      <c r="D25" s="29" t="s">
        <v>341</v>
      </c>
      <c r="E25" s="29" t="s">
        <v>341</v>
      </c>
      <c r="F25" s="29" t="s">
        <v>393</v>
      </c>
      <c r="G25" s="29" t="s">
        <v>394</v>
      </c>
      <c r="H25" s="64" t="s">
        <v>395</v>
      </c>
      <c r="I25" s="25"/>
      <c r="J25" s="25"/>
      <c r="K25" s="25"/>
      <c r="L25" s="25"/>
      <c r="M25" s="25"/>
      <c r="N25" s="25"/>
      <c r="O25" s="25"/>
      <c r="P25" s="25"/>
      <c r="Q25" s="25"/>
      <c r="R25" s="25"/>
      <c r="S25" s="25"/>
      <c r="T25" s="25"/>
    </row>
    <row r="26" spans="1:20" x14ac:dyDescent="0.25">
      <c r="A26" s="207"/>
      <c r="B26" s="29"/>
      <c r="C26" s="29" t="s">
        <v>233</v>
      </c>
      <c r="D26" s="29" t="s">
        <v>233</v>
      </c>
      <c r="E26" s="29" t="s">
        <v>233</v>
      </c>
      <c r="F26" s="36" t="s">
        <v>243</v>
      </c>
      <c r="G26" s="36" t="s">
        <v>373</v>
      </c>
      <c r="H26" s="84" t="s">
        <v>374</v>
      </c>
      <c r="I26" s="25"/>
      <c r="J26" s="25"/>
      <c r="K26" s="25"/>
      <c r="L26" s="25"/>
      <c r="M26" s="25"/>
      <c r="N26" s="25"/>
      <c r="O26" s="25"/>
      <c r="P26" s="25"/>
      <c r="Q26" s="25"/>
      <c r="R26" s="25"/>
      <c r="S26" s="25"/>
      <c r="T26" s="25"/>
    </row>
    <row r="27" spans="1:20" ht="30" x14ac:dyDescent="0.25">
      <c r="A27" s="82" t="s">
        <v>316</v>
      </c>
      <c r="B27" s="29"/>
      <c r="C27" s="111" t="s">
        <v>233</v>
      </c>
      <c r="D27" s="111" t="s">
        <v>233</v>
      </c>
      <c r="E27" s="111" t="s">
        <v>233</v>
      </c>
      <c r="F27" s="36" t="s">
        <v>376</v>
      </c>
      <c r="G27" s="34" t="s">
        <v>378</v>
      </c>
      <c r="H27" s="84" t="s">
        <v>375</v>
      </c>
      <c r="I27" s="25"/>
      <c r="J27" s="25"/>
      <c r="K27" s="25"/>
      <c r="L27" s="25"/>
      <c r="M27" s="25"/>
      <c r="N27" s="25"/>
      <c r="O27" s="25"/>
      <c r="P27" s="25"/>
      <c r="Q27" s="25"/>
      <c r="R27" s="25"/>
      <c r="S27" s="25"/>
      <c r="T27" s="25"/>
    </row>
    <row r="28" spans="1:20" ht="15.75" x14ac:dyDescent="0.25">
      <c r="A28" s="82" t="s">
        <v>317</v>
      </c>
      <c r="B28" s="29"/>
      <c r="C28" s="29" t="s">
        <v>233</v>
      </c>
      <c r="D28" s="29" t="s">
        <v>233</v>
      </c>
      <c r="E28" s="29" t="s">
        <v>233</v>
      </c>
      <c r="F28" s="29" t="s">
        <v>71</v>
      </c>
      <c r="G28" s="29" t="s">
        <v>373</v>
      </c>
      <c r="H28" s="64" t="s">
        <v>401</v>
      </c>
      <c r="I28" s="25"/>
      <c r="J28" s="25"/>
      <c r="K28" s="25"/>
      <c r="L28" s="25"/>
      <c r="M28" s="25"/>
      <c r="N28" s="25"/>
      <c r="O28" s="25"/>
      <c r="P28" s="25"/>
      <c r="Q28" s="25"/>
      <c r="R28" s="25"/>
      <c r="S28" s="25"/>
      <c r="T28" s="25"/>
    </row>
    <row r="29" spans="1:20" ht="15.75" x14ac:dyDescent="0.25">
      <c r="A29" s="115" t="s">
        <v>314</v>
      </c>
      <c r="B29" s="29"/>
      <c r="C29" s="29" t="s">
        <v>233</v>
      </c>
      <c r="D29" s="29" t="s">
        <v>233</v>
      </c>
      <c r="E29" s="29" t="s">
        <v>233</v>
      </c>
      <c r="F29" s="29" t="s">
        <v>385</v>
      </c>
      <c r="G29" s="29" t="s">
        <v>397</v>
      </c>
      <c r="H29" s="64" t="s">
        <v>400</v>
      </c>
      <c r="I29" s="25"/>
      <c r="J29" s="25"/>
      <c r="K29" s="25"/>
      <c r="L29" s="25"/>
      <c r="M29" s="25"/>
      <c r="N29" s="25"/>
      <c r="O29" s="25"/>
      <c r="P29" s="25"/>
      <c r="Q29" s="25"/>
      <c r="R29" s="25"/>
      <c r="S29" s="25"/>
      <c r="T29" s="25"/>
    </row>
    <row r="30" spans="1:20" ht="15.75" x14ac:dyDescent="0.25">
      <c r="A30" s="82" t="s">
        <v>315</v>
      </c>
      <c r="B30" s="29"/>
      <c r="C30" s="29" t="s">
        <v>233</v>
      </c>
      <c r="D30" s="29" t="s">
        <v>233</v>
      </c>
      <c r="E30" s="29" t="s">
        <v>233</v>
      </c>
      <c r="F30" s="83" t="s">
        <v>396</v>
      </c>
      <c r="G30" s="29" t="s">
        <v>398</v>
      </c>
      <c r="H30" s="64" t="s">
        <v>399</v>
      </c>
      <c r="I30" s="25"/>
      <c r="J30" s="25"/>
      <c r="K30" s="25"/>
      <c r="L30" s="25"/>
      <c r="M30" s="25"/>
      <c r="N30" s="25"/>
      <c r="O30" s="25"/>
      <c r="P30" s="25"/>
      <c r="Q30" s="25"/>
      <c r="R30" s="25"/>
      <c r="S30" s="25"/>
      <c r="T30" s="25"/>
    </row>
    <row r="31" spans="1:20" s="109" customFormat="1" ht="18.75" customHeight="1" x14ac:dyDescent="0.25">
      <c r="A31" s="82" t="s">
        <v>318</v>
      </c>
      <c r="B31" s="89" t="s">
        <v>433</v>
      </c>
      <c r="C31" s="108"/>
      <c r="D31" s="108"/>
      <c r="E31" s="108"/>
      <c r="F31" s="108"/>
      <c r="G31" s="108"/>
      <c r="H31" s="108"/>
      <c r="I31" s="108"/>
      <c r="J31" s="108"/>
      <c r="K31" s="108"/>
      <c r="L31" s="108"/>
      <c r="M31" s="108"/>
      <c r="N31" s="108"/>
      <c r="O31" s="108"/>
      <c r="P31" s="108"/>
      <c r="Q31" s="108"/>
      <c r="R31" s="108"/>
      <c r="S31" s="108"/>
      <c r="T31" s="108"/>
    </row>
    <row r="32" spans="1:20" ht="15.75" x14ac:dyDescent="0.25">
      <c r="A32" s="82" t="s">
        <v>304</v>
      </c>
      <c r="B32" s="110"/>
      <c r="C32" s="112"/>
      <c r="D32" s="113" t="s">
        <v>341</v>
      </c>
      <c r="E32" s="112"/>
      <c r="F32" s="64" t="s">
        <v>623</v>
      </c>
      <c r="G32" s="64" t="s">
        <v>605</v>
      </c>
      <c r="H32" s="64" t="s">
        <v>624</v>
      </c>
      <c r="I32" t="s">
        <v>622</v>
      </c>
    </row>
    <row r="33" spans="1:9" ht="27.75" customHeight="1" x14ac:dyDescent="0.25">
      <c r="A33" s="88" t="s">
        <v>384</v>
      </c>
      <c r="B33" s="110"/>
      <c r="C33" s="113" t="s">
        <v>341</v>
      </c>
      <c r="D33" s="113" t="s">
        <v>341</v>
      </c>
      <c r="E33" s="113" t="s">
        <v>341</v>
      </c>
      <c r="F33" s="64" t="s">
        <v>627</v>
      </c>
      <c r="G33" s="64" t="s">
        <v>626</v>
      </c>
      <c r="H33" s="64" t="s">
        <v>628</v>
      </c>
      <c r="I33" t="s">
        <v>625</v>
      </c>
    </row>
    <row r="34" spans="1:9" ht="15.75" x14ac:dyDescent="0.25">
      <c r="A34" s="114" t="s">
        <v>596</v>
      </c>
      <c r="B34" s="110"/>
      <c r="C34" s="113" t="s">
        <v>341</v>
      </c>
      <c r="D34" s="113" t="s">
        <v>341</v>
      </c>
      <c r="E34" s="113" t="s">
        <v>341</v>
      </c>
      <c r="F34" s="64" t="s">
        <v>619</v>
      </c>
      <c r="G34" s="64" t="s">
        <v>620</v>
      </c>
      <c r="H34" s="64" t="s">
        <v>621</v>
      </c>
    </row>
    <row r="35" spans="1:9" ht="15.75" x14ac:dyDescent="0.25">
      <c r="A35" s="114" t="s">
        <v>597</v>
      </c>
      <c r="B35" s="110"/>
      <c r="C35" s="113" t="s">
        <v>341</v>
      </c>
      <c r="D35" s="113" t="s">
        <v>341</v>
      </c>
      <c r="E35" s="113" t="s">
        <v>341</v>
      </c>
      <c r="F35" s="64" t="s">
        <v>614</v>
      </c>
      <c r="G35" s="64" t="s">
        <v>613</v>
      </c>
      <c r="H35" s="64" t="s">
        <v>612</v>
      </c>
    </row>
    <row r="36" spans="1:9" ht="15.75" x14ac:dyDescent="0.25">
      <c r="A36" s="114" t="s">
        <v>598</v>
      </c>
    </row>
    <row r="37" spans="1:9" ht="15.75" x14ac:dyDescent="0.25">
      <c r="A37" s="114" t="s">
        <v>599</v>
      </c>
    </row>
  </sheetData>
  <mergeCells count="15">
    <mergeCell ref="A25:A26"/>
    <mergeCell ref="B23:E23"/>
    <mergeCell ref="A8:E8"/>
    <mergeCell ref="I11:T11"/>
    <mergeCell ref="G15:G16"/>
    <mergeCell ref="A9:C9"/>
    <mergeCell ref="A1:E1"/>
    <mergeCell ref="F1:I1"/>
    <mergeCell ref="F8:I8"/>
    <mergeCell ref="F3:F7"/>
    <mergeCell ref="G3:G7"/>
    <mergeCell ref="H3:H7"/>
    <mergeCell ref="I3:I7"/>
    <mergeCell ref="A11:A15"/>
    <mergeCell ref="A16:A20"/>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40"/>
  <sheetViews>
    <sheetView topLeftCell="A7" workbookViewId="0">
      <selection activeCell="D15" sqref="D15"/>
    </sheetView>
  </sheetViews>
  <sheetFormatPr defaultRowHeight="15" x14ac:dyDescent="0.25"/>
  <cols>
    <col min="1" max="1" width="21.5703125" bestFit="1" customWidth="1"/>
    <col min="2" max="2" width="23.85546875" bestFit="1" customWidth="1"/>
    <col min="3" max="3" width="21.85546875" bestFit="1" customWidth="1"/>
    <col min="4" max="4" width="26" customWidth="1"/>
    <col min="5" max="5" width="55.140625" customWidth="1"/>
    <col min="6" max="6" width="11.42578125" bestFit="1" customWidth="1"/>
    <col min="7" max="7" width="13.85546875" customWidth="1"/>
    <col min="8" max="8" width="11.42578125" customWidth="1"/>
    <col min="9" max="9" width="7.85546875" customWidth="1"/>
    <col min="10" max="10" width="6.7109375" customWidth="1"/>
    <col min="11" max="11" width="7" customWidth="1"/>
    <col min="12" max="12" width="6" customWidth="1"/>
    <col min="13" max="13" width="5.42578125" customWidth="1"/>
    <col min="14" max="14" width="6.28515625" customWidth="1"/>
    <col min="15" max="15" width="5.140625" customWidth="1"/>
    <col min="16" max="16" width="10.140625" bestFit="1" customWidth="1"/>
    <col min="17" max="17" width="6.7109375" customWidth="1"/>
    <col min="18" max="18" width="10.140625" bestFit="1" customWidth="1"/>
    <col min="19" max="19" width="6" customWidth="1"/>
    <col min="20" max="20" width="10.140625" bestFit="1" customWidth="1"/>
  </cols>
  <sheetData>
    <row r="1" spans="1:20" ht="15.75" thickBot="1" x14ac:dyDescent="0.3">
      <c r="A1" s="228" t="s">
        <v>80</v>
      </c>
      <c r="B1" s="228"/>
      <c r="C1" s="228"/>
      <c r="D1" s="228"/>
      <c r="E1" s="228"/>
      <c r="F1" s="207" t="s">
        <v>3</v>
      </c>
      <c r="G1" s="207"/>
      <c r="H1" s="207"/>
      <c r="I1" s="207"/>
    </row>
    <row r="2" spans="1:20" ht="60.75" thickBot="1" x14ac:dyDescent="0.3">
      <c r="A2" s="15" t="s">
        <v>61</v>
      </c>
      <c r="B2" s="15" t="s">
        <v>13</v>
      </c>
      <c r="C2" s="15" t="s">
        <v>6</v>
      </c>
      <c r="D2" s="15" t="s">
        <v>7</v>
      </c>
      <c r="E2" s="16" t="s">
        <v>14</v>
      </c>
      <c r="F2" s="4" t="s">
        <v>53</v>
      </c>
      <c r="G2" s="4" t="s">
        <v>4</v>
      </c>
      <c r="H2" s="4" t="s">
        <v>5</v>
      </c>
      <c r="I2" s="4" t="s">
        <v>55</v>
      </c>
    </row>
    <row r="3" spans="1:20" ht="15.75" thickBot="1" x14ac:dyDescent="0.3">
      <c r="A3" s="15" t="s">
        <v>1</v>
      </c>
      <c r="B3" s="17" t="s">
        <v>101</v>
      </c>
      <c r="C3" s="17" t="s">
        <v>256</v>
      </c>
      <c r="D3" s="17" t="s">
        <v>85</v>
      </c>
      <c r="E3" s="18" t="s">
        <v>86</v>
      </c>
      <c r="F3" s="206" t="s">
        <v>102</v>
      </c>
      <c r="G3" s="206" t="s">
        <v>103</v>
      </c>
      <c r="H3" s="206" t="s">
        <v>104</v>
      </c>
      <c r="I3" s="206" t="s">
        <v>105</v>
      </c>
    </row>
    <row r="4" spans="1:20" ht="15.75" thickBot="1" x14ac:dyDescent="0.3">
      <c r="A4" s="15" t="s">
        <v>87</v>
      </c>
      <c r="B4" s="17" t="s">
        <v>88</v>
      </c>
      <c r="C4" s="17">
        <v>12</v>
      </c>
      <c r="D4" s="17" t="s">
        <v>89</v>
      </c>
      <c r="E4" s="18" t="s">
        <v>90</v>
      </c>
      <c r="F4" s="206"/>
      <c r="G4" s="206"/>
      <c r="H4" s="206"/>
      <c r="I4" s="206"/>
    </row>
    <row r="5" spans="1:20" ht="30.75" thickBot="1" x14ac:dyDescent="0.3">
      <c r="A5" s="15" t="s">
        <v>48</v>
      </c>
      <c r="B5" s="17" t="s">
        <v>91</v>
      </c>
      <c r="C5" s="17">
        <v>15</v>
      </c>
      <c r="D5" s="17" t="s">
        <v>92</v>
      </c>
      <c r="E5" s="18" t="s">
        <v>93</v>
      </c>
      <c r="F5" s="206"/>
      <c r="G5" s="206"/>
      <c r="H5" s="206"/>
      <c r="I5" s="206"/>
    </row>
    <row r="6" spans="1:20" ht="30.75" thickBot="1" x14ac:dyDescent="0.3">
      <c r="A6" s="15" t="s">
        <v>94</v>
      </c>
      <c r="B6" s="17" t="s">
        <v>95</v>
      </c>
      <c r="C6" s="17">
        <v>5</v>
      </c>
      <c r="D6" s="17" t="s">
        <v>96</v>
      </c>
      <c r="E6" s="18" t="s">
        <v>97</v>
      </c>
      <c r="F6" s="206"/>
      <c r="G6" s="206"/>
      <c r="H6" s="206"/>
      <c r="I6" s="206"/>
    </row>
    <row r="7" spans="1:20" ht="15.75" thickBot="1" x14ac:dyDescent="0.3">
      <c r="A7" s="15" t="s">
        <v>98</v>
      </c>
      <c r="B7" s="15" t="s">
        <v>63</v>
      </c>
      <c r="C7" s="15" t="s">
        <v>63</v>
      </c>
      <c r="D7" s="17" t="s">
        <v>99</v>
      </c>
      <c r="E7" s="18" t="s">
        <v>100</v>
      </c>
      <c r="F7" s="206"/>
      <c r="G7" s="206"/>
      <c r="H7" s="206"/>
      <c r="I7" s="206"/>
    </row>
    <row r="8" spans="1:20" x14ac:dyDescent="0.25">
      <c r="A8" s="180" t="s">
        <v>50</v>
      </c>
      <c r="B8" s="180"/>
      <c r="C8" s="180"/>
      <c r="D8" s="180"/>
      <c r="E8" s="180"/>
      <c r="F8" s="180" t="s">
        <v>60</v>
      </c>
      <c r="G8" s="180"/>
      <c r="H8" s="180"/>
      <c r="I8" s="180"/>
    </row>
    <row r="10" spans="1:20" ht="30" x14ac:dyDescent="0.25">
      <c r="A10" s="65" t="s">
        <v>195</v>
      </c>
      <c r="B10" s="80" t="s">
        <v>196</v>
      </c>
      <c r="C10" s="80" t="s">
        <v>732</v>
      </c>
      <c r="D10" s="135" t="s">
        <v>197</v>
      </c>
      <c r="E10" s="36" t="s">
        <v>214</v>
      </c>
      <c r="F10" s="36" t="s">
        <v>215</v>
      </c>
      <c r="G10" s="25"/>
      <c r="H10" s="25"/>
      <c r="I10" s="25"/>
      <c r="J10" s="25"/>
      <c r="K10" s="25"/>
      <c r="L10" s="25"/>
      <c r="M10" s="25"/>
      <c r="N10" s="25"/>
      <c r="O10" s="25"/>
      <c r="P10" s="25"/>
      <c r="Q10" s="25"/>
      <c r="R10" s="25"/>
      <c r="S10" s="25"/>
      <c r="T10" s="25"/>
    </row>
    <row r="11" spans="1:20" ht="15" customHeight="1" x14ac:dyDescent="0.25">
      <c r="A11" s="226" t="s">
        <v>721</v>
      </c>
      <c r="B11" s="55" t="s">
        <v>246</v>
      </c>
      <c r="C11" s="55" t="s">
        <v>722</v>
      </c>
      <c r="D11" s="120" t="s">
        <v>650</v>
      </c>
      <c r="E11" s="124" t="s">
        <v>257</v>
      </c>
      <c r="F11" s="136">
        <f>L17*$I$13/3</f>
        <v>17.996551724137934</v>
      </c>
      <c r="G11" s="35"/>
      <c r="H11" s="35"/>
      <c r="I11" s="185" t="s">
        <v>215</v>
      </c>
      <c r="J11" s="185"/>
      <c r="K11" s="185"/>
      <c r="L11" s="185"/>
      <c r="M11" s="185"/>
      <c r="N11" s="185"/>
      <c r="O11" s="185"/>
      <c r="P11" s="185"/>
      <c r="Q11" s="185"/>
      <c r="R11" s="185"/>
      <c r="S11" s="185"/>
      <c r="T11" s="185"/>
    </row>
    <row r="12" spans="1:20" ht="18" customHeight="1" x14ac:dyDescent="0.25">
      <c r="A12" s="227"/>
      <c r="B12" s="55" t="s">
        <v>207</v>
      </c>
      <c r="C12" s="55" t="s">
        <v>733</v>
      </c>
      <c r="D12" s="120" t="s">
        <v>644</v>
      </c>
      <c r="E12" s="124" t="s">
        <v>243</v>
      </c>
      <c r="F12" s="136">
        <f>L17*$J$13/3</f>
        <v>19.496264367816099</v>
      </c>
      <c r="G12" s="91"/>
      <c r="H12" s="38" t="s">
        <v>0</v>
      </c>
      <c r="I12" s="38" t="s">
        <v>1</v>
      </c>
      <c r="J12" s="44" t="s">
        <v>18</v>
      </c>
      <c r="K12" s="44" t="s">
        <v>111</v>
      </c>
      <c r="L12" s="44" t="s">
        <v>33</v>
      </c>
      <c r="M12" s="44" t="s">
        <v>251</v>
      </c>
      <c r="N12" s="38"/>
      <c r="O12" s="38"/>
      <c r="P12" s="38"/>
      <c r="Q12" s="44"/>
      <c r="R12" s="44"/>
      <c r="S12" s="38"/>
      <c r="T12" s="38"/>
    </row>
    <row r="13" spans="1:20" ht="27.75" customHeight="1" x14ac:dyDescent="0.25">
      <c r="A13" s="227"/>
      <c r="B13" s="55" t="s">
        <v>208</v>
      </c>
      <c r="C13" s="55" t="s">
        <v>734</v>
      </c>
      <c r="D13" s="120" t="s">
        <v>714</v>
      </c>
      <c r="E13" s="124" t="s">
        <v>243</v>
      </c>
      <c r="F13" s="136">
        <f>$K$13*L17*1/3+$K$13*M17*1/3</f>
        <v>58.622920498084291</v>
      </c>
      <c r="G13" s="92"/>
      <c r="H13" s="42" t="s">
        <v>236</v>
      </c>
      <c r="I13" s="43">
        <v>0.6</v>
      </c>
      <c r="J13" s="43">
        <v>0.65</v>
      </c>
      <c r="K13" s="43">
        <v>0.85</v>
      </c>
      <c r="L13" s="43">
        <v>0.95</v>
      </c>
      <c r="M13" s="43">
        <v>1</v>
      </c>
      <c r="N13" s="43"/>
      <c r="O13" s="43"/>
      <c r="P13" s="43"/>
      <c r="Q13" s="43"/>
      <c r="R13" s="43"/>
      <c r="S13" s="43"/>
      <c r="T13" s="43"/>
    </row>
    <row r="14" spans="1:20" ht="35.25" customHeight="1" x14ac:dyDescent="0.25">
      <c r="A14" s="227"/>
      <c r="B14" s="55" t="s">
        <v>720</v>
      </c>
      <c r="C14" s="55" t="s">
        <v>735</v>
      </c>
      <c r="D14" s="120" t="s">
        <v>652</v>
      </c>
      <c r="E14" s="124" t="s">
        <v>258</v>
      </c>
      <c r="F14" s="136">
        <f>$L$13*M17*2/3</f>
        <v>74.050388888888875</v>
      </c>
      <c r="G14" s="92"/>
      <c r="H14" s="38" t="s">
        <v>217</v>
      </c>
      <c r="I14" s="44" t="s">
        <v>224</v>
      </c>
      <c r="J14" s="44" t="s">
        <v>225</v>
      </c>
      <c r="K14" s="44" t="s">
        <v>226</v>
      </c>
      <c r="L14" s="44" t="s">
        <v>227</v>
      </c>
      <c r="M14" s="44" t="s">
        <v>228</v>
      </c>
      <c r="N14" s="44" t="s">
        <v>229</v>
      </c>
      <c r="O14" s="44" t="s">
        <v>230</v>
      </c>
      <c r="P14" s="44" t="s">
        <v>231</v>
      </c>
      <c r="Q14" s="44" t="s">
        <v>232</v>
      </c>
      <c r="R14" s="44" t="s">
        <v>233</v>
      </c>
      <c r="S14" s="44" t="s">
        <v>234</v>
      </c>
      <c r="T14" s="44" t="s">
        <v>235</v>
      </c>
    </row>
    <row r="15" spans="1:20" ht="53.25" customHeight="1" x14ac:dyDescent="0.25">
      <c r="A15" s="227"/>
      <c r="B15" s="55" t="s">
        <v>723</v>
      </c>
      <c r="C15" s="55" t="s">
        <v>736</v>
      </c>
      <c r="D15" s="120" t="s">
        <v>715</v>
      </c>
      <c r="E15" s="124" t="s">
        <v>258</v>
      </c>
      <c r="F15" s="136">
        <f>N17*$M$13+O17*$M$13*1/3</f>
        <v>163.33444444444444</v>
      </c>
      <c r="G15" s="183" t="s">
        <v>223</v>
      </c>
      <c r="H15" s="42" t="s">
        <v>218</v>
      </c>
      <c r="I15" s="43">
        <v>45.260000000000005</v>
      </c>
      <c r="J15" s="43">
        <v>51.893333333333324</v>
      </c>
      <c r="K15" s="43">
        <v>71.299999999999983</v>
      </c>
      <c r="L15" s="43">
        <v>88.965517241379345</v>
      </c>
      <c r="M15" s="43">
        <v>114.59666666666666</v>
      </c>
      <c r="N15" s="43">
        <v>116</v>
      </c>
      <c r="O15" s="43">
        <v>121.51999999999998</v>
      </c>
      <c r="P15" s="43">
        <v>118.11</v>
      </c>
      <c r="Q15" s="43">
        <v>102.79999999999998</v>
      </c>
      <c r="R15" s="43">
        <v>88.143333333333331</v>
      </c>
      <c r="S15" s="43">
        <v>62.3</v>
      </c>
      <c r="T15" s="43">
        <v>50.633333333333319</v>
      </c>
    </row>
    <row r="16" spans="1:20" ht="15" customHeight="1" x14ac:dyDescent="0.25">
      <c r="A16" s="227" t="s">
        <v>731</v>
      </c>
      <c r="B16" s="55" t="s">
        <v>246</v>
      </c>
      <c r="C16" s="55" t="s">
        <v>722</v>
      </c>
      <c r="D16" s="120" t="s">
        <v>646</v>
      </c>
      <c r="E16" s="124" t="s">
        <v>257</v>
      </c>
      <c r="F16" s="136">
        <f>P17*$I$13/3</f>
        <v>24.159333333333336</v>
      </c>
      <c r="G16" s="183"/>
      <c r="H16" s="42" t="s">
        <v>219</v>
      </c>
      <c r="I16" s="43">
        <v>49.49666666666667</v>
      </c>
      <c r="J16" s="43">
        <v>52.733333333333341</v>
      </c>
      <c r="K16" s="43">
        <v>72.023333333333341</v>
      </c>
      <c r="L16" s="43">
        <v>91.000000000000028</v>
      </c>
      <c r="M16" s="43">
        <v>119.24666666666664</v>
      </c>
      <c r="N16" s="43">
        <v>126.9</v>
      </c>
      <c r="O16" s="43">
        <v>129.78666666666666</v>
      </c>
      <c r="P16" s="43">
        <v>123.48333333333335</v>
      </c>
      <c r="Q16" s="43">
        <v>107.2</v>
      </c>
      <c r="R16" s="43">
        <v>89.796666666666695</v>
      </c>
      <c r="S16" s="43">
        <v>66.700000000000017</v>
      </c>
      <c r="T16" s="43">
        <v>56.626666666666686</v>
      </c>
    </row>
    <row r="17" spans="1:20" x14ac:dyDescent="0.25">
      <c r="A17" s="227"/>
      <c r="B17" s="55" t="s">
        <v>207</v>
      </c>
      <c r="C17" s="55" t="s">
        <v>733</v>
      </c>
      <c r="D17" s="120" t="s">
        <v>716</v>
      </c>
      <c r="E17" s="124" t="s">
        <v>243</v>
      </c>
      <c r="F17" s="136">
        <f>P17*$J$13/3</f>
        <v>26.172611111111113</v>
      </c>
      <c r="G17" s="6"/>
      <c r="H17" s="6" t="s">
        <v>220</v>
      </c>
      <c r="I17" s="6">
        <f>AVERAGE(I15:I16)</f>
        <v>47.378333333333337</v>
      </c>
      <c r="J17" s="6">
        <f t="shared" ref="J17:T17" si="0">AVERAGE(J15:J16)</f>
        <v>52.313333333333333</v>
      </c>
      <c r="K17" s="6">
        <f t="shared" si="0"/>
        <v>71.661666666666662</v>
      </c>
      <c r="L17" s="6">
        <f t="shared" si="0"/>
        <v>89.98275862068968</v>
      </c>
      <c r="M17" s="6">
        <f t="shared" si="0"/>
        <v>116.92166666666665</v>
      </c>
      <c r="N17" s="6">
        <f t="shared" si="0"/>
        <v>121.45</v>
      </c>
      <c r="O17" s="6">
        <f t="shared" si="0"/>
        <v>125.65333333333332</v>
      </c>
      <c r="P17" s="6">
        <f t="shared" si="0"/>
        <v>120.79666666666668</v>
      </c>
      <c r="Q17" s="6">
        <f t="shared" si="0"/>
        <v>105</v>
      </c>
      <c r="R17" s="6">
        <f t="shared" si="0"/>
        <v>88.970000000000013</v>
      </c>
      <c r="S17" s="6">
        <f t="shared" si="0"/>
        <v>64.5</v>
      </c>
      <c r="T17" s="6">
        <f t="shared" si="0"/>
        <v>53.63</v>
      </c>
    </row>
    <row r="18" spans="1:20" ht="14.25" customHeight="1" x14ac:dyDescent="0.25">
      <c r="A18" s="227"/>
      <c r="B18" s="55" t="s">
        <v>208</v>
      </c>
      <c r="C18" s="55" t="s">
        <v>734</v>
      </c>
      <c r="D18" s="120" t="s">
        <v>717</v>
      </c>
      <c r="E18" s="124" t="s">
        <v>243</v>
      </c>
      <c r="F18" s="136">
        <f>$K$13*P17*1/3+$K$13*Q17*1/3</f>
        <v>63.975722222222224</v>
      </c>
      <c r="G18" s="25"/>
      <c r="H18" s="25"/>
      <c r="I18" s="25"/>
      <c r="J18" s="25"/>
      <c r="K18" s="25"/>
      <c r="L18" s="25"/>
      <c r="M18" s="25"/>
      <c r="N18" s="25"/>
      <c r="O18" s="25"/>
      <c r="P18" s="25"/>
      <c r="Q18" s="25"/>
      <c r="R18" s="25"/>
      <c r="S18" s="25"/>
      <c r="T18" s="25"/>
    </row>
    <row r="19" spans="1:20" ht="15" customHeight="1" x14ac:dyDescent="0.25">
      <c r="A19" s="227"/>
      <c r="B19" s="55" t="s">
        <v>720</v>
      </c>
      <c r="C19" s="55" t="s">
        <v>735</v>
      </c>
      <c r="D19" s="120" t="s">
        <v>718</v>
      </c>
      <c r="E19" s="124" t="s">
        <v>258</v>
      </c>
      <c r="F19" s="136">
        <f>$L$13*Q17*2/3</f>
        <v>66.5</v>
      </c>
      <c r="G19" s="25"/>
      <c r="H19" s="25"/>
      <c r="I19" s="25"/>
      <c r="J19" s="25"/>
      <c r="K19" s="25"/>
      <c r="L19" s="25"/>
      <c r="M19" s="25"/>
      <c r="N19" s="25"/>
      <c r="O19" s="25"/>
      <c r="P19" s="25"/>
      <c r="Q19" s="25"/>
      <c r="R19" s="25"/>
      <c r="S19" s="25"/>
      <c r="T19" s="25"/>
    </row>
    <row r="20" spans="1:20" ht="50.25" customHeight="1" x14ac:dyDescent="0.25">
      <c r="A20" s="227"/>
      <c r="B20" s="55" t="s">
        <v>723</v>
      </c>
      <c r="C20" s="55" t="s">
        <v>736</v>
      </c>
      <c r="D20" s="120" t="s">
        <v>719</v>
      </c>
      <c r="E20" s="124" t="s">
        <v>258</v>
      </c>
      <c r="F20" s="136">
        <f>R17*$M$13+S17*$M$13*1/3</f>
        <v>110.47000000000001</v>
      </c>
      <c r="G20" s="25"/>
      <c r="H20" s="25"/>
      <c r="I20" s="25"/>
      <c r="J20" s="25"/>
      <c r="K20" s="25"/>
      <c r="L20" s="25"/>
      <c r="M20" s="25"/>
      <c r="N20" s="25"/>
      <c r="O20" s="25"/>
      <c r="P20" s="25"/>
      <c r="Q20" s="25"/>
      <c r="R20" s="25"/>
      <c r="S20" s="25"/>
      <c r="T20" s="25"/>
    </row>
    <row r="21" spans="1:20" x14ac:dyDescent="0.25">
      <c r="A21" s="25" t="s">
        <v>206</v>
      </c>
      <c r="B21" s="25"/>
      <c r="C21" s="25"/>
      <c r="D21" s="25"/>
      <c r="E21" s="216" t="s">
        <v>297</v>
      </c>
      <c r="F21" s="216"/>
      <c r="G21" s="216"/>
      <c r="H21" s="216"/>
      <c r="I21" s="216"/>
      <c r="J21" s="216"/>
      <c r="K21" s="216"/>
      <c r="L21" s="25"/>
      <c r="M21" s="25"/>
      <c r="N21" s="25"/>
      <c r="O21" s="25"/>
      <c r="P21" s="25"/>
      <c r="Q21" s="25"/>
      <c r="R21" s="25"/>
      <c r="S21" s="25"/>
      <c r="T21" s="25"/>
    </row>
    <row r="22" spans="1:20" ht="14.25" customHeight="1" x14ac:dyDescent="0.25">
      <c r="A22" s="229" t="s">
        <v>402</v>
      </c>
      <c r="B22" s="229"/>
      <c r="C22" s="229"/>
      <c r="D22" s="229"/>
      <c r="E22" s="229"/>
      <c r="F22" s="229"/>
      <c r="G22" s="229"/>
      <c r="H22" s="229"/>
      <c r="I22" s="229"/>
      <c r="J22" s="25"/>
      <c r="K22" s="25"/>
      <c r="L22" s="25"/>
      <c r="M22" s="25"/>
      <c r="N22" s="25"/>
      <c r="O22" s="25"/>
      <c r="P22" s="25"/>
      <c r="Q22" s="25"/>
      <c r="R22" s="25"/>
      <c r="S22" s="25"/>
      <c r="T22" s="25"/>
    </row>
    <row r="23" spans="1:20" ht="28.5" customHeight="1" x14ac:dyDescent="0.25">
      <c r="A23" s="230" t="s">
        <v>294</v>
      </c>
      <c r="B23" s="206" t="s">
        <v>367</v>
      </c>
      <c r="C23" s="206"/>
      <c r="D23" s="206"/>
      <c r="E23" s="206"/>
      <c r="F23" s="206"/>
      <c r="G23" s="180" t="s">
        <v>368</v>
      </c>
      <c r="H23" s="180"/>
      <c r="I23" s="180"/>
      <c r="J23" s="25"/>
      <c r="K23" s="25"/>
      <c r="L23" s="25"/>
      <c r="M23" s="25"/>
      <c r="N23" s="25"/>
      <c r="O23" s="25"/>
      <c r="P23" s="25"/>
      <c r="Q23" s="25"/>
      <c r="R23" s="25"/>
      <c r="S23" s="25"/>
      <c r="T23" s="25"/>
    </row>
    <row r="24" spans="1:20" ht="60" x14ac:dyDescent="0.25">
      <c r="A24" s="230"/>
      <c r="B24" s="55" t="s">
        <v>246</v>
      </c>
      <c r="C24" s="55" t="s">
        <v>207</v>
      </c>
      <c r="D24" s="55" t="s">
        <v>208</v>
      </c>
      <c r="E24" s="55" t="s">
        <v>209</v>
      </c>
      <c r="F24" s="55" t="s">
        <v>210</v>
      </c>
      <c r="G24" s="4" t="s">
        <v>343</v>
      </c>
      <c r="H24" s="4" t="s">
        <v>344</v>
      </c>
      <c r="I24" s="4" t="s">
        <v>345</v>
      </c>
      <c r="J24" s="25"/>
      <c r="K24" s="25"/>
      <c r="L24" s="25"/>
      <c r="M24" s="25"/>
      <c r="N24" s="25"/>
      <c r="O24" s="25"/>
      <c r="P24" s="25"/>
      <c r="Q24" s="25"/>
      <c r="R24" s="25"/>
      <c r="S24" s="25"/>
      <c r="T24" s="25"/>
    </row>
    <row r="25" spans="1:20" x14ac:dyDescent="0.25">
      <c r="A25" s="24" t="s">
        <v>300</v>
      </c>
      <c r="B25" s="63" t="s">
        <v>341</v>
      </c>
      <c r="C25" s="63" t="s">
        <v>341</v>
      </c>
      <c r="D25" s="63" t="s">
        <v>341</v>
      </c>
      <c r="E25" s="63"/>
      <c r="F25" s="63"/>
      <c r="G25" s="24" t="s">
        <v>403</v>
      </c>
      <c r="H25" s="24" t="s">
        <v>394</v>
      </c>
      <c r="I25" s="79" t="s">
        <v>404</v>
      </c>
      <c r="J25" s="25"/>
      <c r="K25" s="25"/>
      <c r="L25" s="25"/>
      <c r="M25" s="25"/>
      <c r="N25" s="25"/>
      <c r="O25" s="25"/>
      <c r="P25" s="25"/>
      <c r="Q25" s="25"/>
      <c r="R25" s="25"/>
      <c r="S25" s="25"/>
      <c r="T25" s="25"/>
    </row>
    <row r="26" spans="1:20" x14ac:dyDescent="0.25">
      <c r="A26" s="24" t="s">
        <v>301</v>
      </c>
      <c r="B26" s="63"/>
      <c r="C26" s="63" t="s">
        <v>341</v>
      </c>
      <c r="D26" s="63" t="s">
        <v>341</v>
      </c>
      <c r="E26" s="63" t="s">
        <v>341</v>
      </c>
      <c r="F26" s="63" t="s">
        <v>341</v>
      </c>
      <c r="G26" s="24" t="s">
        <v>405</v>
      </c>
      <c r="H26" s="24" t="s">
        <v>406</v>
      </c>
      <c r="I26" s="64" t="s">
        <v>407</v>
      </c>
      <c r="J26" s="25"/>
      <c r="K26" s="25"/>
      <c r="L26" s="25"/>
      <c r="M26" s="25"/>
      <c r="N26" s="25"/>
      <c r="O26" s="25"/>
      <c r="P26" s="25"/>
      <c r="Q26" s="25"/>
      <c r="R26" s="25"/>
      <c r="S26" s="25"/>
      <c r="T26" s="25"/>
    </row>
    <row r="27" spans="1:20" x14ac:dyDescent="0.25">
      <c r="A27" s="24" t="s">
        <v>302</v>
      </c>
      <c r="B27" s="63"/>
      <c r="C27" s="63" t="s">
        <v>341</v>
      </c>
      <c r="D27" s="63" t="s">
        <v>341</v>
      </c>
      <c r="E27" s="63" t="s">
        <v>341</v>
      </c>
      <c r="F27" s="63" t="s">
        <v>341</v>
      </c>
      <c r="G27" s="24" t="s">
        <v>408</v>
      </c>
      <c r="H27" s="24" t="s">
        <v>409</v>
      </c>
      <c r="I27" s="64" t="s">
        <v>410</v>
      </c>
      <c r="J27" s="25"/>
      <c r="K27" s="25"/>
      <c r="L27" s="25"/>
      <c r="M27" s="25"/>
      <c r="N27" s="25"/>
      <c r="O27" s="25"/>
      <c r="P27" s="25"/>
      <c r="Q27" s="25"/>
      <c r="R27" s="25"/>
      <c r="S27" s="25"/>
      <c r="T27" s="25"/>
    </row>
    <row r="28" spans="1:20" x14ac:dyDescent="0.25">
      <c r="A28" s="105" t="s">
        <v>303</v>
      </c>
      <c r="B28" s="63"/>
      <c r="C28" s="99" t="s">
        <v>341</v>
      </c>
      <c r="D28" s="99" t="s">
        <v>341</v>
      </c>
      <c r="E28" s="99" t="s">
        <v>341</v>
      </c>
      <c r="F28" s="99" t="s">
        <v>341</v>
      </c>
      <c r="G28" s="24" t="s">
        <v>411</v>
      </c>
      <c r="H28" s="24" t="s">
        <v>412</v>
      </c>
      <c r="I28" s="64" t="s">
        <v>413</v>
      </c>
      <c r="J28" s="25"/>
      <c r="K28" s="25"/>
      <c r="L28" s="25"/>
      <c r="M28" s="25"/>
      <c r="N28" s="25"/>
      <c r="O28" s="25"/>
      <c r="P28" s="25"/>
      <c r="Q28" s="25"/>
      <c r="R28" s="25"/>
      <c r="S28" s="25"/>
      <c r="T28" s="25"/>
    </row>
    <row r="29" spans="1:20" x14ac:dyDescent="0.25">
      <c r="A29" s="24" t="s">
        <v>304</v>
      </c>
      <c r="B29" s="63"/>
      <c r="C29" s="63"/>
      <c r="D29" s="63" t="s">
        <v>341</v>
      </c>
      <c r="E29" s="63" t="s">
        <v>341</v>
      </c>
      <c r="F29" s="63" t="s">
        <v>341</v>
      </c>
      <c r="G29" s="24" t="s">
        <v>393</v>
      </c>
      <c r="H29" s="24" t="s">
        <v>414</v>
      </c>
      <c r="I29" s="64" t="s">
        <v>415</v>
      </c>
      <c r="J29" s="25"/>
      <c r="K29" s="25"/>
      <c r="L29" s="25"/>
      <c r="M29" s="25"/>
      <c r="N29" s="25"/>
      <c r="O29" s="25"/>
      <c r="P29" s="25"/>
      <c r="Q29" s="25"/>
      <c r="R29" s="25"/>
      <c r="S29" s="25"/>
      <c r="T29" s="25"/>
    </row>
    <row r="30" spans="1:20" x14ac:dyDescent="0.25">
      <c r="A30" s="24" t="s">
        <v>305</v>
      </c>
      <c r="B30" s="63"/>
      <c r="C30" s="63" t="s">
        <v>341</v>
      </c>
      <c r="D30" s="63" t="s">
        <v>341</v>
      </c>
      <c r="E30" s="63" t="s">
        <v>341</v>
      </c>
      <c r="F30" s="63"/>
      <c r="G30" s="24" t="s">
        <v>411</v>
      </c>
      <c r="H30" s="24" t="s">
        <v>416</v>
      </c>
      <c r="I30" s="64" t="s">
        <v>417</v>
      </c>
      <c r="J30" s="25"/>
      <c r="K30" s="25"/>
      <c r="L30" s="25"/>
      <c r="M30" s="25"/>
      <c r="N30" s="25"/>
      <c r="O30" s="25"/>
      <c r="P30" s="25"/>
      <c r="Q30" s="25"/>
      <c r="R30" s="25"/>
      <c r="S30" s="25"/>
      <c r="T30" s="25"/>
    </row>
    <row r="31" spans="1:20" x14ac:dyDescent="0.25">
      <c r="A31" s="24" t="s">
        <v>306</v>
      </c>
      <c r="B31" s="63"/>
      <c r="C31" s="63"/>
      <c r="D31" s="63" t="s">
        <v>341</v>
      </c>
      <c r="E31" s="63" t="s">
        <v>341</v>
      </c>
      <c r="F31" s="63" t="s">
        <v>341</v>
      </c>
      <c r="G31" s="24" t="s">
        <v>418</v>
      </c>
      <c r="H31" s="24" t="s">
        <v>419</v>
      </c>
      <c r="I31" s="64" t="s">
        <v>420</v>
      </c>
      <c r="J31" s="25"/>
      <c r="K31" s="25"/>
      <c r="L31" s="25"/>
      <c r="M31" s="25"/>
      <c r="N31" s="25"/>
      <c r="O31" s="25"/>
      <c r="P31" s="25"/>
      <c r="Q31" s="25"/>
      <c r="R31" s="25"/>
      <c r="S31" s="25"/>
      <c r="T31" s="25"/>
    </row>
    <row r="32" spans="1:20" x14ac:dyDescent="0.25">
      <c r="A32" s="24" t="s">
        <v>307</v>
      </c>
      <c r="B32" s="63"/>
      <c r="C32" s="63" t="s">
        <v>341</v>
      </c>
      <c r="D32" s="63" t="s">
        <v>341</v>
      </c>
      <c r="E32" s="63" t="s">
        <v>341</v>
      </c>
      <c r="F32" s="63" t="s">
        <v>341</v>
      </c>
      <c r="G32" s="24" t="s">
        <v>421</v>
      </c>
      <c r="H32" s="24" t="s">
        <v>414</v>
      </c>
      <c r="I32" s="64" t="s">
        <v>422</v>
      </c>
      <c r="J32" s="25"/>
      <c r="K32" s="25"/>
      <c r="L32" s="25"/>
      <c r="M32" s="25"/>
      <c r="N32" s="25"/>
      <c r="O32" s="25"/>
      <c r="P32" s="25"/>
      <c r="Q32" s="25"/>
      <c r="R32" s="25"/>
      <c r="S32" s="25"/>
      <c r="T32" s="25"/>
    </row>
    <row r="33" spans="1:20" ht="17.25" customHeight="1" x14ac:dyDescent="0.25">
      <c r="A33" s="6" t="s">
        <v>384</v>
      </c>
      <c r="B33" s="78" t="s">
        <v>434</v>
      </c>
      <c r="C33" s="25"/>
      <c r="D33" s="25"/>
      <c r="E33" s="25"/>
      <c r="F33" s="25"/>
      <c r="G33" s="25"/>
      <c r="H33" s="25"/>
      <c r="I33" s="25"/>
      <c r="J33" s="25"/>
      <c r="K33" s="25"/>
      <c r="L33" s="25"/>
      <c r="M33" s="25"/>
      <c r="N33" s="25"/>
      <c r="O33" s="25"/>
      <c r="P33" s="25"/>
      <c r="Q33" s="25"/>
      <c r="R33" s="25"/>
      <c r="S33" s="25"/>
      <c r="T33" s="25"/>
    </row>
    <row r="34" spans="1:20" x14ac:dyDescent="0.25">
      <c r="A34" s="117" t="s">
        <v>308</v>
      </c>
      <c r="B34" s="113"/>
      <c r="C34" s="113" t="s">
        <v>341</v>
      </c>
      <c r="D34" s="113" t="s">
        <v>341</v>
      </c>
      <c r="E34" s="113" t="s">
        <v>341</v>
      </c>
      <c r="F34" s="113" t="s">
        <v>341</v>
      </c>
      <c r="G34" s="24" t="s">
        <v>629</v>
      </c>
      <c r="H34" s="24" t="s">
        <v>630</v>
      </c>
      <c r="I34" s="110" t="s">
        <v>632</v>
      </c>
      <c r="J34" t="s">
        <v>631</v>
      </c>
    </row>
    <row r="35" spans="1:20" x14ac:dyDescent="0.25">
      <c r="A35" s="117" t="s">
        <v>588</v>
      </c>
      <c r="B35" s="113"/>
      <c r="C35" s="113"/>
      <c r="D35" s="113"/>
      <c r="E35" s="113" t="s">
        <v>341</v>
      </c>
      <c r="F35" s="113" t="s">
        <v>341</v>
      </c>
      <c r="G35" t="s">
        <v>411</v>
      </c>
      <c r="H35" t="s">
        <v>416</v>
      </c>
      <c r="I35" s="110" t="s">
        <v>634</v>
      </c>
      <c r="J35" t="s">
        <v>633</v>
      </c>
    </row>
    <row r="36" spans="1:20" ht="15.75" customHeight="1" x14ac:dyDescent="0.25">
      <c r="A36" s="117" t="s">
        <v>589</v>
      </c>
      <c r="B36" s="113"/>
      <c r="C36" s="113" t="s">
        <v>341</v>
      </c>
      <c r="D36" s="113" t="s">
        <v>341</v>
      </c>
      <c r="E36" s="113"/>
      <c r="F36" s="113"/>
      <c r="G36" s="128" t="s">
        <v>408</v>
      </c>
      <c r="H36" s="128" t="s">
        <v>637</v>
      </c>
      <c r="I36" s="110"/>
    </row>
    <row r="37" spans="1:20" x14ac:dyDescent="0.25">
      <c r="A37" s="117" t="s">
        <v>590</v>
      </c>
      <c r="B37" s="113"/>
      <c r="C37" s="113"/>
      <c r="D37" s="113" t="s">
        <v>341</v>
      </c>
      <c r="E37" s="113" t="s">
        <v>341</v>
      </c>
      <c r="F37" s="113"/>
      <c r="G37" s="128" t="s">
        <v>411</v>
      </c>
      <c r="H37" s="128" t="s">
        <v>636</v>
      </c>
      <c r="I37" s="110"/>
    </row>
    <row r="38" spans="1:20" x14ac:dyDescent="0.25">
      <c r="A38" s="117" t="s">
        <v>591</v>
      </c>
      <c r="B38" s="113"/>
      <c r="C38" s="113" t="s">
        <v>341</v>
      </c>
      <c r="D38" s="113" t="s">
        <v>341</v>
      </c>
      <c r="E38" s="113"/>
      <c r="F38" s="113"/>
      <c r="G38" s="128" t="s">
        <v>421</v>
      </c>
      <c r="H38" s="128" t="s">
        <v>409</v>
      </c>
      <c r="I38" s="110"/>
    </row>
    <row r="39" spans="1:20" x14ac:dyDescent="0.25">
      <c r="G39" s="128"/>
    </row>
    <row r="40" spans="1:20" x14ac:dyDescent="0.25">
      <c r="G40" s="128"/>
    </row>
  </sheetData>
  <mergeCells count="17">
    <mergeCell ref="A22:I22"/>
    <mergeCell ref="A23:A24"/>
    <mergeCell ref="G23:I23"/>
    <mergeCell ref="B23:F23"/>
    <mergeCell ref="E21:K21"/>
    <mergeCell ref="A11:A15"/>
    <mergeCell ref="A1:E1"/>
    <mergeCell ref="F1:I1"/>
    <mergeCell ref="F3:F7"/>
    <mergeCell ref="G3:G7"/>
    <mergeCell ref="H3:H7"/>
    <mergeCell ref="I3:I7"/>
    <mergeCell ref="F8:I8"/>
    <mergeCell ref="A8:E8"/>
    <mergeCell ref="I11:T11"/>
    <mergeCell ref="G15:G16"/>
    <mergeCell ref="A16:A20"/>
  </mergeCells>
  <phoneticPr fontId="12"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40"/>
  <sheetViews>
    <sheetView workbookViewId="0">
      <selection activeCell="C15" sqref="C15"/>
    </sheetView>
  </sheetViews>
  <sheetFormatPr defaultColWidth="9" defaultRowHeight="15" x14ac:dyDescent="0.25"/>
  <cols>
    <col min="1" max="1" width="21.5703125" style="25" bestFit="1" customWidth="1"/>
    <col min="2" max="2" width="23.5703125" style="25" bestFit="1" customWidth="1"/>
    <col min="3" max="3" width="21.85546875" style="25" bestFit="1" customWidth="1"/>
    <col min="4" max="4" width="19.42578125" style="25" bestFit="1" customWidth="1"/>
    <col min="5" max="5" width="53.28515625" style="25" bestFit="1" customWidth="1"/>
    <col min="6" max="6" width="11.42578125" style="25" bestFit="1" customWidth="1"/>
    <col min="7" max="9" width="14.5703125" style="25" customWidth="1"/>
    <col min="10" max="10" width="7.28515625" style="25" customWidth="1"/>
    <col min="11" max="11" width="10.140625" style="25" bestFit="1" customWidth="1"/>
    <col min="12" max="12" width="6.85546875" style="25" customWidth="1"/>
    <col min="13" max="13" width="7" style="25" customWidth="1"/>
    <col min="14" max="14" width="5.85546875" style="25" customWidth="1"/>
    <col min="15" max="15" width="5" style="25" customWidth="1"/>
    <col min="16" max="16" width="4.85546875" style="25" customWidth="1"/>
    <col min="17" max="17" width="4.140625" style="25" customWidth="1"/>
    <col min="18" max="18" width="4.28515625" style="25" customWidth="1"/>
    <col min="19" max="19" width="3.7109375" style="25" customWidth="1"/>
    <col min="20" max="20" width="4.28515625" style="25" customWidth="1"/>
    <col min="21" max="16384" width="9" style="25"/>
  </cols>
  <sheetData>
    <row r="1" spans="1:20" ht="15.75" thickBot="1" x14ac:dyDescent="0.3">
      <c r="A1" s="237" t="s">
        <v>59</v>
      </c>
      <c r="B1" s="237"/>
      <c r="C1" s="237"/>
      <c r="D1" s="237"/>
      <c r="E1" s="237"/>
      <c r="F1" s="207" t="s">
        <v>3</v>
      </c>
      <c r="G1" s="207"/>
      <c r="H1" s="207"/>
      <c r="I1" s="207"/>
    </row>
    <row r="2" spans="1:20" ht="45.75" thickBot="1" x14ac:dyDescent="0.3">
      <c r="A2" s="74" t="s">
        <v>61</v>
      </c>
      <c r="B2" s="74" t="s">
        <v>13</v>
      </c>
      <c r="C2" s="74" t="s">
        <v>6</v>
      </c>
      <c r="D2" s="74" t="s">
        <v>7</v>
      </c>
      <c r="E2" s="75" t="s">
        <v>14</v>
      </c>
      <c r="F2" s="4" t="s">
        <v>53</v>
      </c>
      <c r="G2" s="4" t="s">
        <v>4</v>
      </c>
      <c r="H2" s="4" t="s">
        <v>5</v>
      </c>
      <c r="I2" s="4" t="s">
        <v>55</v>
      </c>
    </row>
    <row r="3" spans="1:20" ht="15" customHeight="1" thickBot="1" x14ac:dyDescent="0.3">
      <c r="A3" s="74" t="s">
        <v>1</v>
      </c>
      <c r="B3" s="74" t="s">
        <v>71</v>
      </c>
      <c r="C3" s="74" t="s">
        <v>106</v>
      </c>
      <c r="D3" s="74" t="s">
        <v>45</v>
      </c>
      <c r="E3" s="75" t="s">
        <v>107</v>
      </c>
      <c r="F3" s="239" t="s">
        <v>127</v>
      </c>
      <c r="G3" s="242" t="s">
        <v>125</v>
      </c>
      <c r="H3" s="242" t="s">
        <v>124</v>
      </c>
      <c r="I3" s="242" t="s">
        <v>126</v>
      </c>
    </row>
    <row r="4" spans="1:20" ht="15" customHeight="1" thickBot="1" x14ac:dyDescent="0.3">
      <c r="A4" s="74" t="s">
        <v>18</v>
      </c>
      <c r="B4" s="74" t="s">
        <v>108</v>
      </c>
      <c r="C4" s="74">
        <v>17</v>
      </c>
      <c r="D4" s="74" t="s">
        <v>109</v>
      </c>
      <c r="E4" s="75" t="s">
        <v>110</v>
      </c>
      <c r="F4" s="240"/>
      <c r="G4" s="201"/>
      <c r="H4" s="201"/>
      <c r="I4" s="201"/>
    </row>
    <row r="5" spans="1:20" ht="15" customHeight="1" thickBot="1" x14ac:dyDescent="0.3">
      <c r="A5" s="74" t="s">
        <v>111</v>
      </c>
      <c r="B5" s="74" t="s">
        <v>71</v>
      </c>
      <c r="C5" s="74">
        <v>15</v>
      </c>
      <c r="D5" s="74" t="s">
        <v>41</v>
      </c>
      <c r="E5" s="75" t="s">
        <v>112</v>
      </c>
      <c r="F5" s="240"/>
      <c r="G5" s="201"/>
      <c r="H5" s="201"/>
      <c r="I5" s="201"/>
    </row>
    <row r="6" spans="1:20" ht="15" customHeight="1" thickBot="1" x14ac:dyDescent="0.3">
      <c r="A6" s="74" t="s">
        <v>113</v>
      </c>
      <c r="B6" s="74" t="s">
        <v>114</v>
      </c>
      <c r="C6" s="74">
        <v>18</v>
      </c>
      <c r="D6" s="74" t="s">
        <v>41</v>
      </c>
      <c r="E6" s="75" t="s">
        <v>115</v>
      </c>
      <c r="F6" s="240"/>
      <c r="G6" s="201"/>
      <c r="H6" s="201"/>
      <c r="I6" s="201"/>
    </row>
    <row r="7" spans="1:20" ht="15" customHeight="1" thickBot="1" x14ac:dyDescent="0.3">
      <c r="A7" s="76" t="s">
        <v>116</v>
      </c>
      <c r="B7" s="76"/>
      <c r="C7" s="76" t="s">
        <v>123</v>
      </c>
      <c r="D7" s="76" t="s">
        <v>117</v>
      </c>
      <c r="E7" s="77" t="s">
        <v>118</v>
      </c>
      <c r="F7" s="240"/>
      <c r="G7" s="201"/>
      <c r="H7" s="201"/>
      <c r="I7" s="201"/>
    </row>
    <row r="8" spans="1:20" ht="15.75" thickBot="1" x14ac:dyDescent="0.3">
      <c r="A8" s="174" t="s">
        <v>119</v>
      </c>
      <c r="B8" s="175" t="s">
        <v>65</v>
      </c>
      <c r="C8" s="175">
        <v>10</v>
      </c>
      <c r="D8" s="175" t="s">
        <v>120</v>
      </c>
      <c r="E8" s="176" t="s">
        <v>121</v>
      </c>
      <c r="F8" s="241"/>
      <c r="G8" s="241"/>
      <c r="H8" s="241"/>
      <c r="I8" s="241"/>
    </row>
    <row r="9" spans="1:20" x14ac:dyDescent="0.25">
      <c r="A9" s="238" t="s">
        <v>122</v>
      </c>
      <c r="B9" s="238"/>
      <c r="C9" s="238"/>
      <c r="D9" s="238"/>
      <c r="E9" s="238"/>
      <c r="F9" s="180" t="s">
        <v>60</v>
      </c>
      <c r="G9" s="180"/>
      <c r="H9" s="180"/>
      <c r="I9" s="180"/>
    </row>
    <row r="10" spans="1:20" ht="15.75" thickBot="1" x14ac:dyDescent="0.3"/>
    <row r="11" spans="1:20" ht="30.75" thickBot="1" x14ac:dyDescent="0.3">
      <c r="A11" s="48" t="s">
        <v>195</v>
      </c>
      <c r="B11" s="49" t="s">
        <v>196</v>
      </c>
      <c r="C11" s="49" t="s">
        <v>732</v>
      </c>
      <c r="D11" s="50" t="s">
        <v>197</v>
      </c>
      <c r="E11" s="50" t="s">
        <v>214</v>
      </c>
      <c r="F11" s="51" t="s">
        <v>215</v>
      </c>
    </row>
    <row r="12" spans="1:20" ht="15" customHeight="1" x14ac:dyDescent="0.25">
      <c r="A12" s="234" t="s">
        <v>653</v>
      </c>
      <c r="B12" s="52" t="s">
        <v>246</v>
      </c>
      <c r="C12" s="52" t="s">
        <v>722</v>
      </c>
      <c r="D12" s="118" t="s">
        <v>724</v>
      </c>
      <c r="E12" s="53" t="s">
        <v>244</v>
      </c>
      <c r="F12" s="54">
        <f>L18*1/3*$I$14</f>
        <v>17.996551724137934</v>
      </c>
      <c r="G12" s="35"/>
      <c r="H12" s="35"/>
      <c r="I12" s="185" t="s">
        <v>215</v>
      </c>
      <c r="J12" s="185"/>
      <c r="K12" s="185"/>
      <c r="L12" s="185"/>
      <c r="M12" s="185"/>
      <c r="N12" s="185"/>
      <c r="O12" s="185"/>
      <c r="P12" s="185"/>
      <c r="Q12" s="185"/>
      <c r="R12" s="185"/>
      <c r="S12" s="185"/>
      <c r="T12" s="185"/>
    </row>
    <row r="13" spans="1:20" ht="21.75" customHeight="1" x14ac:dyDescent="0.25">
      <c r="A13" s="235"/>
      <c r="B13" s="55" t="s">
        <v>207</v>
      </c>
      <c r="C13" s="55" t="s">
        <v>737</v>
      </c>
      <c r="D13" s="116" t="s">
        <v>726</v>
      </c>
      <c r="E13" s="56" t="s">
        <v>247</v>
      </c>
      <c r="F13" s="57">
        <f>L18*$J$14*1/3</f>
        <v>19.496264367816099</v>
      </c>
      <c r="G13" s="37"/>
      <c r="H13" s="38" t="s">
        <v>0</v>
      </c>
      <c r="I13" s="38" t="s">
        <v>1</v>
      </c>
      <c r="J13" s="44" t="s">
        <v>18</v>
      </c>
      <c r="K13" s="44" t="s">
        <v>111</v>
      </c>
      <c r="L13" s="44" t="s">
        <v>33</v>
      </c>
      <c r="M13" s="44" t="s">
        <v>251</v>
      </c>
      <c r="N13" s="38"/>
      <c r="O13" s="38"/>
      <c r="P13" s="38"/>
      <c r="Q13" s="44"/>
      <c r="R13" s="44"/>
      <c r="S13" s="38"/>
      <c r="T13" s="38"/>
    </row>
    <row r="14" spans="1:20" ht="30" customHeight="1" x14ac:dyDescent="0.25">
      <c r="A14" s="235"/>
      <c r="B14" s="55" t="s">
        <v>208</v>
      </c>
      <c r="C14" s="55" t="s">
        <v>738</v>
      </c>
      <c r="D14" s="116" t="s">
        <v>727</v>
      </c>
      <c r="E14" s="56" t="s">
        <v>245</v>
      </c>
      <c r="F14" s="57">
        <f>$K$14*(L18/3+M18*2/3)</f>
        <v>91.750726053639852</v>
      </c>
      <c r="G14" s="41"/>
      <c r="H14" s="42" t="s">
        <v>236</v>
      </c>
      <c r="I14" s="43">
        <v>0.6</v>
      </c>
      <c r="J14" s="43">
        <v>0.65</v>
      </c>
      <c r="K14" s="43">
        <v>0.85</v>
      </c>
      <c r="L14" s="43">
        <v>0.95</v>
      </c>
      <c r="M14" s="43">
        <v>1</v>
      </c>
      <c r="N14" s="43"/>
      <c r="O14" s="43"/>
      <c r="P14" s="43"/>
      <c r="Q14" s="43"/>
      <c r="R14" s="43"/>
      <c r="S14" s="43"/>
      <c r="T14" s="43"/>
    </row>
    <row r="15" spans="1:20" ht="30" x14ac:dyDescent="0.25">
      <c r="A15" s="235"/>
      <c r="B15" s="55" t="s">
        <v>725</v>
      </c>
      <c r="C15" s="55" t="s">
        <v>739</v>
      </c>
      <c r="D15" s="116" t="s">
        <v>728</v>
      </c>
      <c r="E15" s="56" t="s">
        <v>259</v>
      </c>
      <c r="F15" s="57">
        <f>$L$14*(M18/3+N18/3)</f>
        <v>75.484361111111099</v>
      </c>
      <c r="G15" s="41"/>
      <c r="H15" s="38" t="s">
        <v>217</v>
      </c>
      <c r="I15" s="44" t="s">
        <v>224</v>
      </c>
      <c r="J15" s="44" t="s">
        <v>225</v>
      </c>
      <c r="K15" s="44" t="s">
        <v>226</v>
      </c>
      <c r="L15" s="44" t="s">
        <v>227</v>
      </c>
      <c r="M15" s="44" t="s">
        <v>228</v>
      </c>
      <c r="N15" s="44" t="s">
        <v>229</v>
      </c>
      <c r="O15" s="44" t="s">
        <v>230</v>
      </c>
      <c r="P15" s="44" t="s">
        <v>231</v>
      </c>
      <c r="Q15" s="44" t="s">
        <v>232</v>
      </c>
      <c r="R15" s="44" t="s">
        <v>233</v>
      </c>
      <c r="S15" s="44" t="s">
        <v>234</v>
      </c>
      <c r="T15" s="44" t="s">
        <v>235</v>
      </c>
    </row>
    <row r="16" spans="1:20" ht="48" customHeight="1" thickBot="1" x14ac:dyDescent="0.3">
      <c r="A16" s="236"/>
      <c r="B16" s="58" t="s">
        <v>730</v>
      </c>
      <c r="C16" s="58" t="s">
        <v>740</v>
      </c>
      <c r="D16" s="119" t="s">
        <v>729</v>
      </c>
      <c r="E16" s="59" t="s">
        <v>260</v>
      </c>
      <c r="F16" s="60">
        <f>$M$14*(N18*2/3+O18)</f>
        <v>206.62</v>
      </c>
      <c r="G16" s="231" t="s">
        <v>223</v>
      </c>
      <c r="H16" s="42" t="s">
        <v>218</v>
      </c>
      <c r="I16" s="43">
        <v>45.260000000000005</v>
      </c>
      <c r="J16" s="43">
        <v>51.893333333333324</v>
      </c>
      <c r="K16" s="43">
        <v>71.299999999999983</v>
      </c>
      <c r="L16" s="43">
        <v>88.965517241379345</v>
      </c>
      <c r="M16" s="43">
        <v>114.59666666666666</v>
      </c>
      <c r="N16" s="43">
        <v>116</v>
      </c>
      <c r="O16" s="43">
        <v>121.51999999999998</v>
      </c>
      <c r="P16" s="43">
        <v>118.11</v>
      </c>
      <c r="Q16" s="43">
        <v>102.79999999999998</v>
      </c>
      <c r="R16" s="43">
        <v>88.143333333333331</v>
      </c>
      <c r="S16" s="43">
        <v>62.3</v>
      </c>
      <c r="T16" s="43">
        <v>50.633333333333319</v>
      </c>
    </row>
    <row r="17" spans="1:20" ht="18.75" customHeight="1" x14ac:dyDescent="0.25">
      <c r="A17" s="233" t="s">
        <v>298</v>
      </c>
      <c r="B17" s="233"/>
      <c r="C17" s="233"/>
      <c r="D17" s="233"/>
      <c r="E17" s="61" t="s">
        <v>299</v>
      </c>
      <c r="G17" s="232"/>
      <c r="H17" s="42" t="s">
        <v>219</v>
      </c>
      <c r="I17" s="43">
        <v>49.49666666666667</v>
      </c>
      <c r="J17" s="43">
        <v>52.733333333333341</v>
      </c>
      <c r="K17" s="43">
        <v>72.023333333333341</v>
      </c>
      <c r="L17" s="43">
        <v>91.000000000000028</v>
      </c>
      <c r="M17" s="43">
        <v>119.24666666666664</v>
      </c>
      <c r="N17" s="43">
        <v>126.9</v>
      </c>
      <c r="O17" s="43">
        <v>129.78666666666666</v>
      </c>
      <c r="P17" s="43">
        <v>123.48333333333335</v>
      </c>
      <c r="Q17" s="43">
        <v>107.2</v>
      </c>
      <c r="R17" s="43">
        <v>89.796666666666695</v>
      </c>
      <c r="S17" s="43">
        <v>66.700000000000017</v>
      </c>
      <c r="T17" s="43">
        <v>56.626666666666686</v>
      </c>
    </row>
    <row r="18" spans="1:20" ht="30" x14ac:dyDescent="0.25">
      <c r="A18" s="163" t="s">
        <v>423</v>
      </c>
      <c r="B18" s="163"/>
      <c r="C18" s="163"/>
      <c r="D18" s="163"/>
      <c r="E18" s="163"/>
      <c r="F18" s="163"/>
      <c r="G18" s="6"/>
      <c r="H18" s="6" t="s">
        <v>220</v>
      </c>
      <c r="I18" s="6">
        <f>AVERAGE(I16:I17)</f>
        <v>47.378333333333337</v>
      </c>
      <c r="J18" s="6">
        <f t="shared" ref="J18:T18" si="0">AVERAGE(J16:J17)</f>
        <v>52.313333333333333</v>
      </c>
      <c r="K18" s="6">
        <f t="shared" si="0"/>
        <v>71.661666666666662</v>
      </c>
      <c r="L18" s="6">
        <f t="shared" si="0"/>
        <v>89.98275862068968</v>
      </c>
      <c r="M18" s="6">
        <f t="shared" si="0"/>
        <v>116.92166666666665</v>
      </c>
      <c r="N18" s="6">
        <f t="shared" si="0"/>
        <v>121.45</v>
      </c>
      <c r="O18" s="6">
        <f t="shared" si="0"/>
        <v>125.65333333333332</v>
      </c>
      <c r="P18" s="6">
        <f t="shared" si="0"/>
        <v>120.79666666666668</v>
      </c>
      <c r="Q18" s="6">
        <f t="shared" si="0"/>
        <v>105</v>
      </c>
      <c r="R18" s="6">
        <f t="shared" si="0"/>
        <v>88.970000000000013</v>
      </c>
      <c r="S18" s="6">
        <f t="shared" si="0"/>
        <v>64.5</v>
      </c>
      <c r="T18" s="6">
        <f t="shared" si="0"/>
        <v>53.63</v>
      </c>
    </row>
    <row r="19" spans="1:20" x14ac:dyDescent="0.25">
      <c r="A19" s="230" t="s">
        <v>294</v>
      </c>
      <c r="B19" s="206" t="s">
        <v>367</v>
      </c>
      <c r="C19" s="206"/>
      <c r="D19" s="206"/>
      <c r="E19" s="206"/>
      <c r="F19" s="206"/>
    </row>
    <row r="20" spans="1:20" ht="15" customHeight="1" x14ac:dyDescent="0.25">
      <c r="A20" s="230"/>
      <c r="B20" s="55" t="s">
        <v>246</v>
      </c>
      <c r="C20" s="55" t="s">
        <v>207</v>
      </c>
      <c r="D20" s="55" t="s">
        <v>208</v>
      </c>
      <c r="E20" s="55" t="s">
        <v>209</v>
      </c>
      <c r="F20" s="55" t="s">
        <v>210</v>
      </c>
    </row>
    <row r="21" spans="1:20" x14ac:dyDescent="0.25">
      <c r="A21" s="24" t="s">
        <v>312</v>
      </c>
      <c r="B21" s="96" t="s">
        <v>341</v>
      </c>
      <c r="C21" s="96" t="s">
        <v>341</v>
      </c>
      <c r="D21" s="96" t="s">
        <v>341</v>
      </c>
      <c r="E21" s="96"/>
      <c r="F21" s="96"/>
    </row>
    <row r="22" spans="1:20" ht="15" customHeight="1" x14ac:dyDescent="0.25">
      <c r="A22" s="105" t="s">
        <v>313</v>
      </c>
      <c r="B22" s="96"/>
      <c r="C22" s="99" t="s">
        <v>341</v>
      </c>
      <c r="D22" s="99" t="s">
        <v>341</v>
      </c>
      <c r="E22" s="96" t="s">
        <v>341</v>
      </c>
      <c r="F22" s="96"/>
    </row>
    <row r="23" spans="1:20" x14ac:dyDescent="0.25">
      <c r="A23" s="105" t="s">
        <v>308</v>
      </c>
      <c r="B23" s="96"/>
      <c r="C23" s="99" t="s">
        <v>341</v>
      </c>
      <c r="D23" s="99" t="s">
        <v>341</v>
      </c>
      <c r="E23" s="99" t="s">
        <v>341</v>
      </c>
      <c r="F23" s="96" t="s">
        <v>341</v>
      </c>
    </row>
    <row r="24" spans="1:20" x14ac:dyDescent="0.25">
      <c r="A24" s="105" t="s">
        <v>429</v>
      </c>
      <c r="B24" s="96"/>
      <c r="C24" s="99" t="s">
        <v>341</v>
      </c>
      <c r="D24" s="99" t="s">
        <v>341</v>
      </c>
      <c r="E24" s="99" t="s">
        <v>341</v>
      </c>
      <c r="F24" s="96" t="s">
        <v>341</v>
      </c>
    </row>
    <row r="25" spans="1:20" ht="25.5" customHeight="1" x14ac:dyDescent="0.25">
      <c r="A25" s="6" t="s">
        <v>384</v>
      </c>
      <c r="B25" s="121" t="s">
        <v>567</v>
      </c>
      <c r="C25" s="122"/>
      <c r="D25" s="122"/>
      <c r="E25" s="122"/>
      <c r="F25" s="122"/>
    </row>
    <row r="26" spans="1:20" x14ac:dyDescent="0.25">
      <c r="A26" s="120" t="s">
        <v>592</v>
      </c>
      <c r="B26" s="98"/>
      <c r="C26" s="123" t="s">
        <v>341</v>
      </c>
      <c r="D26" s="123"/>
      <c r="E26" s="123"/>
      <c r="F26" s="123"/>
    </row>
    <row r="27" spans="1:20" ht="20.25" customHeight="1" x14ac:dyDescent="0.25">
      <c r="A27" s="120" t="s">
        <v>304</v>
      </c>
      <c r="B27" s="98"/>
      <c r="C27" s="123"/>
      <c r="D27" s="123" t="s">
        <v>341</v>
      </c>
      <c r="E27" s="123" t="s">
        <v>341</v>
      </c>
      <c r="F27" s="123" t="s">
        <v>341</v>
      </c>
    </row>
    <row r="28" spans="1:20" ht="15" customHeight="1" x14ac:dyDescent="0.25">
      <c r="A28" s="120" t="s">
        <v>593</v>
      </c>
      <c r="B28" s="98"/>
      <c r="C28" s="123"/>
      <c r="D28" s="123" t="s">
        <v>341</v>
      </c>
      <c r="E28" s="123" t="s">
        <v>341</v>
      </c>
      <c r="F28" s="123" t="s">
        <v>341</v>
      </c>
      <c r="G28" s="163"/>
      <c r="H28" s="163"/>
      <c r="I28" s="163"/>
      <c r="K28" s="62"/>
    </row>
    <row r="29" spans="1:20" x14ac:dyDescent="0.25">
      <c r="A29" s="120" t="s">
        <v>595</v>
      </c>
      <c r="B29" s="98"/>
      <c r="C29" s="123" t="s">
        <v>341</v>
      </c>
      <c r="D29" s="123" t="s">
        <v>341</v>
      </c>
      <c r="E29" s="123" t="s">
        <v>341</v>
      </c>
      <c r="F29" s="123" t="s">
        <v>341</v>
      </c>
      <c r="G29" s="180" t="s">
        <v>368</v>
      </c>
      <c r="H29" s="180"/>
      <c r="I29" s="180"/>
      <c r="K29" s="62"/>
    </row>
    <row r="30" spans="1:20" ht="27.75" customHeight="1" x14ac:dyDescent="0.25">
      <c r="A30" s="120" t="s">
        <v>594</v>
      </c>
      <c r="B30" s="98"/>
      <c r="C30" s="123"/>
      <c r="D30" s="123" t="s">
        <v>341</v>
      </c>
      <c r="E30" s="123" t="s">
        <v>341</v>
      </c>
      <c r="F30" s="123" t="s">
        <v>341</v>
      </c>
      <c r="G30" s="4" t="s">
        <v>343</v>
      </c>
      <c r="H30" s="4" t="s">
        <v>344</v>
      </c>
      <c r="I30" s="4" t="s">
        <v>345</v>
      </c>
      <c r="K30" s="62"/>
    </row>
    <row r="31" spans="1:20" x14ac:dyDescent="0.25">
      <c r="G31" s="24" t="s">
        <v>403</v>
      </c>
      <c r="H31" s="24" t="s">
        <v>406</v>
      </c>
      <c r="I31" s="64" t="s">
        <v>424</v>
      </c>
    </row>
    <row r="32" spans="1:20" x14ac:dyDescent="0.25">
      <c r="G32" s="24" t="s">
        <v>411</v>
      </c>
      <c r="H32" s="24" t="s">
        <v>416</v>
      </c>
      <c r="I32" s="64" t="s">
        <v>425</v>
      </c>
    </row>
    <row r="33" spans="7:10" x14ac:dyDescent="0.25">
      <c r="G33" s="24" t="s">
        <v>426</v>
      </c>
      <c r="H33" s="24" t="s">
        <v>427</v>
      </c>
      <c r="I33" s="64" t="s">
        <v>428</v>
      </c>
    </row>
    <row r="34" spans="7:10" x14ac:dyDescent="0.25">
      <c r="G34" s="24" t="s">
        <v>411</v>
      </c>
      <c r="H34" s="24" t="s">
        <v>427</v>
      </c>
      <c r="I34" s="64" t="s">
        <v>430</v>
      </c>
    </row>
    <row r="35" spans="7:10" ht="14.25" customHeight="1" x14ac:dyDescent="0.25"/>
    <row r="36" spans="7:10" x14ac:dyDescent="0.25">
      <c r="G36" s="24" t="s">
        <v>411</v>
      </c>
      <c r="H36" s="97" t="s">
        <v>611</v>
      </c>
      <c r="I36" s="97" t="s">
        <v>635</v>
      </c>
      <c r="J36" s="25" t="s">
        <v>615</v>
      </c>
    </row>
    <row r="37" spans="7:10" x14ac:dyDescent="0.25">
      <c r="G37" s="24" t="s">
        <v>393</v>
      </c>
      <c r="H37" s="24" t="s">
        <v>414</v>
      </c>
      <c r="I37" s="64" t="s">
        <v>415</v>
      </c>
    </row>
    <row r="38" spans="7:10" x14ac:dyDescent="0.25">
      <c r="G38" s="64" t="s">
        <v>614</v>
      </c>
      <c r="H38" s="64" t="s">
        <v>613</v>
      </c>
      <c r="I38" s="64" t="s">
        <v>612</v>
      </c>
    </row>
    <row r="39" spans="7:10" x14ac:dyDescent="0.25">
      <c r="G39" s="24" t="s">
        <v>411</v>
      </c>
      <c r="H39" s="24" t="s">
        <v>412</v>
      </c>
      <c r="I39" s="64" t="s">
        <v>413</v>
      </c>
    </row>
    <row r="40" spans="7:10" x14ac:dyDescent="0.25">
      <c r="G40" s="97" t="s">
        <v>639</v>
      </c>
      <c r="H40" s="97" t="s">
        <v>611</v>
      </c>
      <c r="I40" s="97" t="s">
        <v>640</v>
      </c>
      <c r="J40" s="25" t="s">
        <v>638</v>
      </c>
    </row>
  </sheetData>
  <mergeCells count="15">
    <mergeCell ref="A1:E1"/>
    <mergeCell ref="A9:E9"/>
    <mergeCell ref="F1:I1"/>
    <mergeCell ref="F9:I9"/>
    <mergeCell ref="F3:F8"/>
    <mergeCell ref="G3:G8"/>
    <mergeCell ref="H3:H8"/>
    <mergeCell ref="I3:I8"/>
    <mergeCell ref="G16:G17"/>
    <mergeCell ref="A19:A20"/>
    <mergeCell ref="B19:F19"/>
    <mergeCell ref="G29:I29"/>
    <mergeCell ref="A17:D17"/>
    <mergeCell ref="A12:A16"/>
    <mergeCell ref="I12:T12"/>
  </mergeCells>
  <hyperlinks>
    <hyperlink ref="A17" r:id="rId1" display="https://danviet.vn/trong-bi-xanh-nong-dan-xa-mien-nui-o-ha-long-kham-kha-han-20230414154743188-d1087540.html?utm_source=chatgpt.com"/>
    <hyperlink ref="E17" r:id="rId2" display="https://www.jircas.go.jp/en/database/thaivege/018"/>
  </hyperlinks>
  <pageMargins left="0.7" right="0.7" top="0.75" bottom="0.75" header="0.3" footer="0.3"/>
  <pageSetup paperSize="9" orientation="portrait"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4"/>
  <sheetViews>
    <sheetView tabSelected="1" topLeftCell="A10" zoomScale="115" zoomScaleNormal="115" workbookViewId="0">
      <selection activeCell="G12" sqref="G12"/>
    </sheetView>
  </sheetViews>
  <sheetFormatPr defaultColWidth="9" defaultRowHeight="15" x14ac:dyDescent="0.25"/>
  <cols>
    <col min="1" max="1" width="30.28515625" style="25" customWidth="1"/>
    <col min="2" max="2" width="21.42578125" style="25" bestFit="1" customWidth="1"/>
    <col min="3" max="3" width="25.85546875" style="25" bestFit="1" customWidth="1"/>
    <col min="4" max="4" width="22.42578125" style="25" bestFit="1" customWidth="1"/>
    <col min="5" max="5" width="14.140625" style="25" bestFit="1" customWidth="1"/>
    <col min="6" max="6" width="29.42578125" style="25" bestFit="1" customWidth="1"/>
    <col min="7" max="7" width="48.42578125" style="25" customWidth="1"/>
    <col min="8" max="8" width="49.7109375" style="25" customWidth="1"/>
    <col min="9" max="9" width="15.28515625" style="25" customWidth="1"/>
    <col min="10" max="10" width="16.42578125" style="25" customWidth="1"/>
    <col min="11" max="11" width="17" style="25" customWidth="1"/>
    <col min="12" max="12" width="32.85546875" style="25" customWidth="1"/>
    <col min="13" max="16384" width="9" style="25"/>
  </cols>
  <sheetData>
    <row r="1" spans="1:12" ht="37.5" x14ac:dyDescent="0.25">
      <c r="A1" s="26" t="s">
        <v>128</v>
      </c>
      <c r="B1" s="26" t="s">
        <v>13</v>
      </c>
      <c r="C1" s="26" t="s">
        <v>129</v>
      </c>
      <c r="D1" s="26" t="s">
        <v>151</v>
      </c>
      <c r="E1" s="245" t="s">
        <v>155</v>
      </c>
      <c r="F1" s="246"/>
      <c r="G1" s="247" t="s">
        <v>261</v>
      </c>
      <c r="H1" s="248"/>
      <c r="I1" s="248"/>
      <c r="J1" s="248"/>
      <c r="K1" s="248"/>
      <c r="L1" s="248"/>
    </row>
    <row r="2" spans="1:12" ht="45" x14ac:dyDescent="0.25">
      <c r="A2" s="27" t="s">
        <v>130</v>
      </c>
      <c r="B2" s="27" t="s">
        <v>131</v>
      </c>
      <c r="C2" s="27" t="s">
        <v>132</v>
      </c>
      <c r="D2" s="27" t="s">
        <v>133</v>
      </c>
      <c r="E2" s="26" t="s">
        <v>154</v>
      </c>
      <c r="F2" s="26" t="s">
        <v>153</v>
      </c>
      <c r="G2" s="68" t="s">
        <v>266</v>
      </c>
      <c r="H2" s="68" t="s">
        <v>280</v>
      </c>
      <c r="I2" s="71" t="s">
        <v>262</v>
      </c>
      <c r="J2" s="71" t="s">
        <v>263</v>
      </c>
      <c r="K2" s="71" t="s">
        <v>264</v>
      </c>
      <c r="L2" s="71" t="s">
        <v>265</v>
      </c>
    </row>
    <row r="3" spans="1:12" ht="210" x14ac:dyDescent="0.25">
      <c r="A3" s="27" t="s">
        <v>134</v>
      </c>
      <c r="B3" s="27" t="s">
        <v>135</v>
      </c>
      <c r="C3" s="27" t="s">
        <v>136</v>
      </c>
      <c r="D3" s="27" t="s">
        <v>133</v>
      </c>
      <c r="E3" s="28" t="s">
        <v>190</v>
      </c>
      <c r="F3" s="14" t="s">
        <v>185</v>
      </c>
      <c r="G3" s="72" t="s">
        <v>286</v>
      </c>
      <c r="H3" s="69" t="s">
        <v>281</v>
      </c>
      <c r="I3" s="71" t="s">
        <v>282</v>
      </c>
      <c r="J3" s="71" t="s">
        <v>283</v>
      </c>
      <c r="K3" s="71" t="s">
        <v>284</v>
      </c>
      <c r="L3" s="71" t="s">
        <v>285</v>
      </c>
    </row>
    <row r="4" spans="1:12" ht="37.5" x14ac:dyDescent="0.25">
      <c r="A4" s="27" t="s">
        <v>137</v>
      </c>
      <c r="B4" s="27" t="s">
        <v>138</v>
      </c>
      <c r="C4" s="27" t="s">
        <v>139</v>
      </c>
      <c r="D4" s="27" t="s">
        <v>133</v>
      </c>
      <c r="E4" s="28" t="s">
        <v>191</v>
      </c>
      <c r="F4" s="14" t="s">
        <v>186</v>
      </c>
      <c r="G4" s="69"/>
      <c r="H4" s="69"/>
      <c r="I4" s="73"/>
      <c r="J4" s="71"/>
      <c r="K4" s="71"/>
      <c r="L4" s="73"/>
    </row>
    <row r="5" spans="1:12" ht="18.75" x14ac:dyDescent="0.25">
      <c r="A5" s="27" t="s">
        <v>140</v>
      </c>
      <c r="B5" s="27" t="s">
        <v>141</v>
      </c>
      <c r="C5" s="27" t="s">
        <v>142</v>
      </c>
      <c r="D5" s="27" t="s">
        <v>133</v>
      </c>
      <c r="E5" s="28" t="s">
        <v>192</v>
      </c>
      <c r="F5" s="14" t="s">
        <v>187</v>
      </c>
      <c r="G5" s="69"/>
      <c r="H5" s="69"/>
      <c r="I5" s="71"/>
      <c r="J5" s="71"/>
      <c r="K5" s="71"/>
      <c r="L5" s="73"/>
    </row>
    <row r="6" spans="1:12" ht="18.75" x14ac:dyDescent="0.25">
      <c r="A6" s="27" t="s">
        <v>143</v>
      </c>
      <c r="B6" s="27" t="s">
        <v>144</v>
      </c>
      <c r="C6" s="27" t="s">
        <v>145</v>
      </c>
      <c r="D6" s="27" t="s">
        <v>146</v>
      </c>
      <c r="E6" s="28" t="s">
        <v>193</v>
      </c>
      <c r="F6" s="14" t="s">
        <v>188</v>
      </c>
      <c r="G6" s="69"/>
      <c r="H6" s="69"/>
      <c r="I6" s="71"/>
      <c r="J6" s="71"/>
      <c r="K6" s="71"/>
      <c r="L6" s="73"/>
    </row>
    <row r="7" spans="1:12" ht="18.75" x14ac:dyDescent="0.25">
      <c r="A7" s="27" t="s">
        <v>147</v>
      </c>
      <c r="B7" s="27" t="s">
        <v>148</v>
      </c>
      <c r="C7" s="27" t="s">
        <v>145</v>
      </c>
      <c r="D7" s="27" t="s">
        <v>133</v>
      </c>
      <c r="E7" s="28"/>
      <c r="F7" s="28"/>
      <c r="G7" s="69"/>
      <c r="H7" s="69"/>
      <c r="I7" s="71"/>
      <c r="J7" s="71"/>
      <c r="K7" s="71"/>
      <c r="L7" s="73"/>
    </row>
    <row r="8" spans="1:12" ht="18.75" x14ac:dyDescent="0.25">
      <c r="A8" s="27" t="s">
        <v>149</v>
      </c>
      <c r="B8" s="27" t="s">
        <v>141</v>
      </c>
      <c r="C8" s="27" t="s">
        <v>150</v>
      </c>
      <c r="D8" s="27" t="s">
        <v>133</v>
      </c>
      <c r="E8" s="29"/>
      <c r="F8" s="29"/>
      <c r="G8" s="69"/>
      <c r="H8" s="69"/>
      <c r="I8" s="71"/>
      <c r="J8" s="73"/>
      <c r="K8" s="73"/>
      <c r="L8" s="73"/>
    </row>
    <row r="9" spans="1:12" x14ac:dyDescent="0.25">
      <c r="A9" s="243" t="s">
        <v>152</v>
      </c>
      <c r="B9" s="244"/>
      <c r="C9" s="244"/>
      <c r="D9" s="244"/>
      <c r="E9" s="206" t="s">
        <v>189</v>
      </c>
      <c r="F9" s="206"/>
      <c r="G9" s="69"/>
      <c r="H9" s="69"/>
      <c r="I9" s="71"/>
      <c r="J9" s="73"/>
      <c r="K9" s="73"/>
      <c r="L9" s="73"/>
    </row>
    <row r="10" spans="1:12" x14ac:dyDescent="0.25">
      <c r="A10" s="229" t="s">
        <v>319</v>
      </c>
      <c r="B10" s="229"/>
      <c r="C10" s="229"/>
      <c r="D10" s="229"/>
      <c r="E10" s="229"/>
      <c r="F10" s="229"/>
      <c r="G10" s="69"/>
      <c r="H10" s="69"/>
      <c r="I10" s="71"/>
      <c r="J10" s="71"/>
      <c r="K10" s="71"/>
      <c r="L10" s="73"/>
    </row>
    <row r="11" spans="1:12" ht="45" x14ac:dyDescent="0.25">
      <c r="A11" s="4" t="s">
        <v>320</v>
      </c>
      <c r="B11" s="4" t="s">
        <v>438</v>
      </c>
      <c r="C11" s="4" t="s">
        <v>435</v>
      </c>
      <c r="D11" s="4" t="s">
        <v>436</v>
      </c>
      <c r="E11" s="4" t="s">
        <v>437</v>
      </c>
      <c r="F11" s="4" t="s">
        <v>266</v>
      </c>
      <c r="G11" s="69"/>
      <c r="H11" s="69"/>
      <c r="I11" s="71"/>
      <c r="J11" s="71"/>
      <c r="K11" s="71"/>
      <c r="L11" s="73"/>
    </row>
    <row r="12" spans="1:12" ht="120" x14ac:dyDescent="0.25">
      <c r="A12" s="23" t="s">
        <v>321</v>
      </c>
      <c r="B12" s="24" t="s">
        <v>439</v>
      </c>
      <c r="C12" s="24" t="s">
        <v>475</v>
      </c>
      <c r="D12" s="24" t="s">
        <v>476</v>
      </c>
      <c r="E12" s="24" t="s">
        <v>440</v>
      </c>
      <c r="F12" s="24" t="s">
        <v>441</v>
      </c>
      <c r="G12" s="69"/>
      <c r="H12" s="69"/>
      <c r="I12" s="71"/>
      <c r="J12" s="71"/>
      <c r="K12" s="71"/>
      <c r="L12" s="73"/>
    </row>
    <row r="13" spans="1:12" ht="120" x14ac:dyDescent="0.25">
      <c r="A13" s="23" t="s">
        <v>322</v>
      </c>
      <c r="B13" s="24" t="s">
        <v>442</v>
      </c>
      <c r="C13" s="24" t="s">
        <v>474</v>
      </c>
      <c r="D13" s="24" t="s">
        <v>477</v>
      </c>
      <c r="E13" s="24" t="s">
        <v>443</v>
      </c>
      <c r="F13" s="24" t="s">
        <v>444</v>
      </c>
    </row>
    <row r="14" spans="1:12" ht="105" x14ac:dyDescent="0.25">
      <c r="A14" s="23" t="s">
        <v>323</v>
      </c>
      <c r="B14" s="24" t="s">
        <v>445</v>
      </c>
      <c r="C14" s="23" t="s">
        <v>540</v>
      </c>
      <c r="D14" s="23" t="s">
        <v>541</v>
      </c>
      <c r="E14" s="24" t="s">
        <v>446</v>
      </c>
      <c r="F14" s="70" t="s">
        <v>447</v>
      </c>
    </row>
    <row r="15" spans="1:12" ht="165" x14ac:dyDescent="0.25">
      <c r="A15" s="23" t="s">
        <v>324</v>
      </c>
      <c r="B15" s="24" t="s">
        <v>448</v>
      </c>
      <c r="C15" s="23" t="s">
        <v>542</v>
      </c>
      <c r="D15" s="23" t="s">
        <v>543</v>
      </c>
      <c r="E15" s="24" t="s">
        <v>544</v>
      </c>
      <c r="F15" s="24" t="s">
        <v>449</v>
      </c>
    </row>
    <row r="16" spans="1:12" ht="135" x14ac:dyDescent="0.25">
      <c r="A16" s="23" t="s">
        <v>325</v>
      </c>
      <c r="B16" s="24" t="s">
        <v>450</v>
      </c>
      <c r="C16" s="23" t="s">
        <v>545</v>
      </c>
      <c r="D16" s="23" t="s">
        <v>541</v>
      </c>
      <c r="E16" s="24" t="s">
        <v>451</v>
      </c>
      <c r="F16" s="70" t="s">
        <v>452</v>
      </c>
    </row>
    <row r="17" spans="1:6" ht="105" x14ac:dyDescent="0.25">
      <c r="A17" s="23" t="s">
        <v>326</v>
      </c>
      <c r="B17" s="24" t="s">
        <v>546</v>
      </c>
      <c r="C17" s="23" t="s">
        <v>547</v>
      </c>
      <c r="D17" s="23" t="s">
        <v>548</v>
      </c>
      <c r="E17" s="24" t="s">
        <v>453</v>
      </c>
      <c r="F17" s="70" t="s">
        <v>454</v>
      </c>
    </row>
    <row r="18" spans="1:6" ht="120" x14ac:dyDescent="0.25">
      <c r="A18" s="23" t="s">
        <v>327</v>
      </c>
      <c r="B18" s="24" t="s">
        <v>455</v>
      </c>
      <c r="C18" s="23" t="s">
        <v>549</v>
      </c>
      <c r="D18" s="23" t="s">
        <v>550</v>
      </c>
      <c r="E18" s="24" t="s">
        <v>456</v>
      </c>
      <c r="F18" s="24" t="s">
        <v>457</v>
      </c>
    </row>
    <row r="19" spans="1:6" ht="135" x14ac:dyDescent="0.25">
      <c r="A19" s="23" t="s">
        <v>328</v>
      </c>
      <c r="B19" s="24" t="s">
        <v>551</v>
      </c>
      <c r="C19" s="23" t="s">
        <v>552</v>
      </c>
      <c r="D19" s="23" t="s">
        <v>553</v>
      </c>
      <c r="E19" s="24" t="s">
        <v>554</v>
      </c>
      <c r="F19" s="70" t="s">
        <v>458</v>
      </c>
    </row>
    <row r="20" spans="1:6" ht="105" x14ac:dyDescent="0.25">
      <c r="A20" s="23" t="s">
        <v>329</v>
      </c>
      <c r="B20" s="24" t="s">
        <v>459</v>
      </c>
      <c r="C20" s="23" t="s">
        <v>555</v>
      </c>
      <c r="D20" s="23" t="s">
        <v>556</v>
      </c>
      <c r="E20" s="24" t="s">
        <v>460</v>
      </c>
      <c r="F20" s="70" t="s">
        <v>461</v>
      </c>
    </row>
    <row r="21" spans="1:6" ht="105" x14ac:dyDescent="0.25">
      <c r="A21" s="23" t="s">
        <v>462</v>
      </c>
      <c r="B21" s="24" t="s">
        <v>463</v>
      </c>
      <c r="C21" s="23" t="s">
        <v>557</v>
      </c>
      <c r="D21" s="23" t="s">
        <v>558</v>
      </c>
      <c r="E21" s="24" t="s">
        <v>464</v>
      </c>
      <c r="F21" s="70" t="s">
        <v>465</v>
      </c>
    </row>
    <row r="22" spans="1:6" ht="105" x14ac:dyDescent="0.25">
      <c r="A22" s="23" t="s">
        <v>466</v>
      </c>
      <c r="B22" s="24" t="s">
        <v>559</v>
      </c>
      <c r="C22" s="23" t="s">
        <v>560</v>
      </c>
      <c r="D22" s="23" t="s">
        <v>561</v>
      </c>
      <c r="E22" s="24" t="s">
        <v>467</v>
      </c>
      <c r="F22" s="24" t="s">
        <v>468</v>
      </c>
    </row>
    <row r="23" spans="1:6" ht="135" x14ac:dyDescent="0.25">
      <c r="A23" s="23" t="s">
        <v>330</v>
      </c>
      <c r="B23" s="24" t="s">
        <v>562</v>
      </c>
      <c r="C23" s="23" t="s">
        <v>563</v>
      </c>
      <c r="D23" s="23" t="s">
        <v>564</v>
      </c>
      <c r="E23" s="24" t="s">
        <v>469</v>
      </c>
      <c r="F23" s="70" t="s">
        <v>470</v>
      </c>
    </row>
    <row r="24" spans="1:6" ht="150" x14ac:dyDescent="0.25">
      <c r="A24" s="23" t="s">
        <v>331</v>
      </c>
      <c r="B24" s="24" t="s">
        <v>471</v>
      </c>
      <c r="C24" s="23" t="s">
        <v>565</v>
      </c>
      <c r="D24" s="23" t="s">
        <v>566</v>
      </c>
      <c r="E24" s="24" t="s">
        <v>472</v>
      </c>
      <c r="F24" s="70" t="s">
        <v>473</v>
      </c>
    </row>
  </sheetData>
  <mergeCells count="5">
    <mergeCell ref="A9:D9"/>
    <mergeCell ref="E9:F9"/>
    <mergeCell ref="E1:F1"/>
    <mergeCell ref="G1:L1"/>
    <mergeCell ref="A10:F10"/>
  </mergeCells>
  <hyperlinks>
    <hyperlink ref="F14" r:id="rId1" display="https://www.msdvetmanual.com/respiratory-system/respiratory-diseases-of-pigs/pleuropneumonia-in-pigs"/>
    <hyperlink ref="F16" r:id="rId2" display="https://www.msdvetmanual.com/generalized-conditions/porcine-reproductive-and-respiratory-syndrome/porcine-reproductive-and-respiratory-syndrome"/>
    <hyperlink ref="F17" r:id="rId3" display="https://www.msdvetmanual.com/respiratory-system/respiratory-diseases-of-pigs/influenza-a-virus-in-swine"/>
    <hyperlink ref="F19" r:id="rId4" display="https://www.msdvetmanual.com/generalized-conditions/edema-disease/edema-disease-in-pigs"/>
    <hyperlink ref="F20" r:id="rId5" display="https://www.merckvetmanual.com/infectious-diseases/erysipelothrix-rhusiopathiae-infection/swine-erysipelas"/>
    <hyperlink ref="F21" r:id="rId6" display="https://www.merckvetmanual.com/digestive-system/enteric-bacterial-diseases-in-pigs/intestinal-salmonellosis-in-pigs"/>
    <hyperlink ref="F23" r:id="rId7" display="https://www.msdvetmanual.com/infectious-diseases/foot-and-mouth-disease/foot-and-mouth-disease-in-animals"/>
    <hyperlink ref="F24" r:id="rId8" display="https://khuyennongvn.gov.vn/khoa-hoc-cong-nghe/khcn-trong-nuoc/benh-tu-huyet-trung-pasteurellosis-15584.html"/>
  </hyperlinks>
  <pageMargins left="0.7" right="0.7" top="0.75" bottom="0.75" header="0.3" footer="0.3"/>
  <pageSetup orientation="portrait" r:id="rId9"/>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0"/>
  <sheetViews>
    <sheetView topLeftCell="A4" workbookViewId="0">
      <selection activeCell="G9" sqref="G9"/>
    </sheetView>
  </sheetViews>
  <sheetFormatPr defaultColWidth="9" defaultRowHeight="15" x14ac:dyDescent="0.25"/>
  <cols>
    <col min="1" max="1" width="23.85546875" style="25" bestFit="1" customWidth="1"/>
    <col min="2" max="2" width="10.28515625" style="25" bestFit="1" customWidth="1"/>
    <col min="3" max="3" width="21.5703125" style="25" bestFit="1" customWidth="1"/>
    <col min="4" max="4" width="19" style="25" bestFit="1" customWidth="1"/>
    <col min="5" max="5" width="27.7109375" style="25" bestFit="1" customWidth="1"/>
    <col min="6" max="6" width="25.140625" style="25" bestFit="1" customWidth="1"/>
    <col min="7" max="7" width="19.7109375" style="25" customWidth="1"/>
    <col min="8" max="8" width="31.42578125" style="25" customWidth="1"/>
    <col min="9" max="9" width="21.28515625" style="25" customWidth="1"/>
    <col min="10" max="16384" width="9" style="25"/>
  </cols>
  <sheetData>
    <row r="1" spans="1:12" ht="30" x14ac:dyDescent="0.25">
      <c r="A1" s="4" t="s">
        <v>0</v>
      </c>
      <c r="B1" s="4" t="s">
        <v>156</v>
      </c>
      <c r="C1" s="4" t="s">
        <v>157</v>
      </c>
      <c r="D1" s="4" t="s">
        <v>159</v>
      </c>
      <c r="E1" s="4" t="s">
        <v>158</v>
      </c>
      <c r="F1" s="4" t="s">
        <v>160</v>
      </c>
      <c r="G1" s="247" t="s">
        <v>261</v>
      </c>
      <c r="H1" s="248"/>
      <c r="I1" s="248"/>
      <c r="J1" s="248"/>
      <c r="K1" s="248"/>
      <c r="L1" s="248"/>
    </row>
    <row r="2" spans="1:12" ht="30" x14ac:dyDescent="0.25">
      <c r="A2" s="249" t="s">
        <v>183</v>
      </c>
      <c r="B2" s="24" t="s">
        <v>164</v>
      </c>
      <c r="C2" s="24" t="s">
        <v>165</v>
      </c>
      <c r="D2" s="24" t="s">
        <v>166</v>
      </c>
      <c r="E2" s="24" t="s">
        <v>161</v>
      </c>
      <c r="F2" s="24" t="s">
        <v>167</v>
      </c>
      <c r="G2" s="4" t="s">
        <v>266</v>
      </c>
      <c r="H2" s="4" t="s">
        <v>280</v>
      </c>
      <c r="I2" s="66" t="s">
        <v>262</v>
      </c>
      <c r="J2" s="66" t="s">
        <v>263</v>
      </c>
      <c r="K2" s="66" t="s">
        <v>264</v>
      </c>
      <c r="L2" s="66" t="s">
        <v>265</v>
      </c>
    </row>
    <row r="3" spans="1:12" ht="45" x14ac:dyDescent="0.25">
      <c r="A3" s="249"/>
      <c r="B3" s="24" t="s">
        <v>168</v>
      </c>
      <c r="C3" s="24" t="s">
        <v>169</v>
      </c>
      <c r="D3" s="24" t="s">
        <v>133</v>
      </c>
      <c r="E3" s="24" t="s">
        <v>162</v>
      </c>
      <c r="F3" s="24" t="s">
        <v>170</v>
      </c>
      <c r="G3" s="24" t="s">
        <v>287</v>
      </c>
      <c r="H3" s="24" t="s">
        <v>267</v>
      </c>
      <c r="I3" s="66" t="s">
        <v>278</v>
      </c>
      <c r="J3" s="63" t="s">
        <v>505</v>
      </c>
      <c r="K3" s="63" t="s">
        <v>506</v>
      </c>
      <c r="L3" s="63"/>
    </row>
    <row r="4" spans="1:12" ht="30" x14ac:dyDescent="0.25">
      <c r="A4" s="23" t="s">
        <v>171</v>
      </c>
      <c r="B4" s="24" t="s">
        <v>172</v>
      </c>
      <c r="C4" s="24" t="s">
        <v>138</v>
      </c>
      <c r="D4" s="24" t="s">
        <v>146</v>
      </c>
      <c r="E4" s="24" t="s">
        <v>173</v>
      </c>
      <c r="F4" s="24" t="s">
        <v>174</v>
      </c>
      <c r="G4" s="24" t="s">
        <v>273</v>
      </c>
      <c r="H4" s="24" t="s">
        <v>268</v>
      </c>
      <c r="I4" s="66" t="s">
        <v>269</v>
      </c>
      <c r="J4" s="66" t="s">
        <v>270</v>
      </c>
      <c r="K4" s="66" t="s">
        <v>271</v>
      </c>
      <c r="L4" s="66" t="s">
        <v>272</v>
      </c>
    </row>
    <row r="5" spans="1:12" ht="94.5" x14ac:dyDescent="0.25">
      <c r="A5" s="23" t="s">
        <v>175</v>
      </c>
      <c r="B5" s="24" t="s">
        <v>176</v>
      </c>
      <c r="C5" s="24" t="s">
        <v>177</v>
      </c>
      <c r="D5" s="24" t="s">
        <v>146</v>
      </c>
      <c r="E5" s="24" t="s">
        <v>178</v>
      </c>
      <c r="F5" s="24" t="s">
        <v>163</v>
      </c>
      <c r="G5" s="67" t="s">
        <v>507</v>
      </c>
      <c r="H5" s="24" t="s">
        <v>279</v>
      </c>
      <c r="I5" s="66" t="s">
        <v>274</v>
      </c>
      <c r="J5" s="66" t="s">
        <v>275</v>
      </c>
      <c r="K5" s="66" t="s">
        <v>276</v>
      </c>
      <c r="L5" s="66" t="s">
        <v>277</v>
      </c>
    </row>
    <row r="6" spans="1:12" ht="30" x14ac:dyDescent="0.25">
      <c r="A6" s="23" t="s">
        <v>179</v>
      </c>
      <c r="B6" s="24" t="s">
        <v>180</v>
      </c>
      <c r="C6" s="24" t="s">
        <v>177</v>
      </c>
      <c r="D6" s="24" t="s">
        <v>146</v>
      </c>
      <c r="E6" s="24" t="s">
        <v>181</v>
      </c>
      <c r="F6" s="24" t="s">
        <v>182</v>
      </c>
      <c r="G6" s="250"/>
      <c r="H6" s="250"/>
    </row>
    <row r="7" spans="1:12" ht="120" customHeight="1" x14ac:dyDescent="0.25">
      <c r="A7" s="243" t="s">
        <v>184</v>
      </c>
      <c r="B7" s="244"/>
      <c r="C7" s="244"/>
      <c r="D7" s="244"/>
      <c r="E7" s="244"/>
      <c r="F7" s="244"/>
    </row>
    <row r="8" spans="1:12" x14ac:dyDescent="0.25">
      <c r="A8" s="229" t="s">
        <v>332</v>
      </c>
      <c r="B8" s="229"/>
      <c r="C8" s="229"/>
      <c r="D8" s="229"/>
      <c r="E8" s="229"/>
      <c r="F8" s="229"/>
    </row>
    <row r="9" spans="1:12" ht="75" x14ac:dyDescent="0.25">
      <c r="A9" s="4" t="s">
        <v>333</v>
      </c>
      <c r="B9" s="4" t="s">
        <v>438</v>
      </c>
      <c r="C9" s="4" t="s">
        <v>435</v>
      </c>
      <c r="D9" s="4" t="s">
        <v>436</v>
      </c>
      <c r="E9" s="4" t="s">
        <v>437</v>
      </c>
      <c r="F9" s="4" t="s">
        <v>266</v>
      </c>
    </row>
    <row r="10" spans="1:12" ht="135" x14ac:dyDescent="0.25">
      <c r="A10" s="23" t="s">
        <v>334</v>
      </c>
      <c r="B10" s="24" t="s">
        <v>508</v>
      </c>
      <c r="C10" s="23" t="s">
        <v>509</v>
      </c>
      <c r="D10" s="23" t="s">
        <v>510</v>
      </c>
      <c r="E10" s="24" t="s">
        <v>478</v>
      </c>
      <c r="F10" s="70" t="s">
        <v>479</v>
      </c>
    </row>
    <row r="11" spans="1:12" ht="180" x14ac:dyDescent="0.25">
      <c r="A11" s="23" t="s">
        <v>335</v>
      </c>
      <c r="B11" s="24" t="s">
        <v>511</v>
      </c>
      <c r="C11" s="23" t="s">
        <v>512</v>
      </c>
      <c r="D11" s="23" t="s">
        <v>513</v>
      </c>
      <c r="E11" s="24" t="s">
        <v>480</v>
      </c>
      <c r="F11" s="24" t="s">
        <v>481</v>
      </c>
    </row>
    <row r="12" spans="1:12" ht="135" x14ac:dyDescent="0.25">
      <c r="A12" s="23" t="s">
        <v>336</v>
      </c>
      <c r="B12" s="24" t="s">
        <v>514</v>
      </c>
      <c r="C12" s="23" t="s">
        <v>515</v>
      </c>
      <c r="D12" s="23" t="s">
        <v>516</v>
      </c>
      <c r="E12" s="24" t="s">
        <v>482</v>
      </c>
      <c r="F12" s="70" t="s">
        <v>483</v>
      </c>
    </row>
    <row r="13" spans="1:12" ht="165" x14ac:dyDescent="0.25">
      <c r="A13" s="23" t="s">
        <v>337</v>
      </c>
      <c r="B13" s="24" t="s">
        <v>517</v>
      </c>
      <c r="C13" s="23" t="s">
        <v>518</v>
      </c>
      <c r="D13" s="23" t="s">
        <v>519</v>
      </c>
      <c r="E13" s="24" t="s">
        <v>520</v>
      </c>
      <c r="F13" s="70" t="s">
        <v>484</v>
      </c>
    </row>
    <row r="14" spans="1:12" ht="165" x14ac:dyDescent="0.25">
      <c r="A14" s="23" t="s">
        <v>485</v>
      </c>
      <c r="B14" s="24" t="s">
        <v>486</v>
      </c>
      <c r="C14" s="23" t="s">
        <v>521</v>
      </c>
      <c r="D14" s="23" t="s">
        <v>522</v>
      </c>
      <c r="E14" s="24" t="s">
        <v>487</v>
      </c>
      <c r="F14" s="70" t="s">
        <v>488</v>
      </c>
    </row>
    <row r="15" spans="1:12" ht="150" x14ac:dyDescent="0.25">
      <c r="A15" s="23" t="s">
        <v>338</v>
      </c>
      <c r="B15" s="24" t="s">
        <v>489</v>
      </c>
      <c r="C15" s="23" t="s">
        <v>523</v>
      </c>
      <c r="D15" s="23" t="s">
        <v>524</v>
      </c>
      <c r="E15" s="24" t="s">
        <v>490</v>
      </c>
      <c r="F15" s="70" t="s">
        <v>491</v>
      </c>
    </row>
    <row r="16" spans="1:12" ht="165" x14ac:dyDescent="0.25">
      <c r="A16" s="23" t="s">
        <v>339</v>
      </c>
      <c r="B16" s="24" t="s">
        <v>525</v>
      </c>
      <c r="C16" s="23" t="s">
        <v>526</v>
      </c>
      <c r="D16" s="23" t="s">
        <v>527</v>
      </c>
      <c r="E16" s="24" t="s">
        <v>492</v>
      </c>
      <c r="F16" s="70" t="s">
        <v>493</v>
      </c>
    </row>
    <row r="17" spans="1:6" ht="120" x14ac:dyDescent="0.25">
      <c r="A17" s="23" t="s">
        <v>340</v>
      </c>
      <c r="B17" s="24" t="s">
        <v>494</v>
      </c>
      <c r="C17" s="23" t="s">
        <v>528</v>
      </c>
      <c r="D17" s="23" t="s">
        <v>529</v>
      </c>
      <c r="E17" s="24" t="s">
        <v>495</v>
      </c>
      <c r="F17" s="70" t="s">
        <v>496</v>
      </c>
    </row>
    <row r="18" spans="1:6" ht="150" x14ac:dyDescent="0.25">
      <c r="A18" s="23" t="s">
        <v>497</v>
      </c>
      <c r="B18" s="24" t="s">
        <v>530</v>
      </c>
      <c r="C18" s="23" t="s">
        <v>531</v>
      </c>
      <c r="D18" s="23" t="s">
        <v>532</v>
      </c>
      <c r="E18" s="24" t="s">
        <v>498</v>
      </c>
      <c r="F18" s="70" t="s">
        <v>499</v>
      </c>
    </row>
    <row r="19" spans="1:6" ht="225" x14ac:dyDescent="0.25">
      <c r="A19" s="23" t="s">
        <v>500</v>
      </c>
      <c r="B19" s="24" t="s">
        <v>533</v>
      </c>
      <c r="C19" s="23" t="s">
        <v>534</v>
      </c>
      <c r="D19" s="23" t="s">
        <v>535</v>
      </c>
      <c r="E19" s="24" t="s">
        <v>536</v>
      </c>
      <c r="F19" s="24" t="s">
        <v>501</v>
      </c>
    </row>
    <row r="20" spans="1:6" ht="150" x14ac:dyDescent="0.25">
      <c r="A20" s="23" t="s">
        <v>502</v>
      </c>
      <c r="B20" s="24" t="s">
        <v>537</v>
      </c>
      <c r="C20" s="23" t="s">
        <v>538</v>
      </c>
      <c r="D20" s="23" t="s">
        <v>539</v>
      </c>
      <c r="E20" s="24" t="s">
        <v>503</v>
      </c>
      <c r="F20" s="24" t="s">
        <v>504</v>
      </c>
    </row>
  </sheetData>
  <mergeCells count="5">
    <mergeCell ref="A7:F7"/>
    <mergeCell ref="A2:A3"/>
    <mergeCell ref="G6:H6"/>
    <mergeCell ref="G1:L1"/>
    <mergeCell ref="A8:F8"/>
  </mergeCells>
  <hyperlinks>
    <hyperlink ref="F10" r:id="rId1" display="https://www.msdvetmanual.com/poultry/infectious-coryza/infectious-coryza"/>
    <hyperlink ref="F12" r:id="rId2" display="https://www.merckvetmanual.com/poultry/coccidiosis-in-poultry/coccidiosis-in-poultry"/>
    <hyperlink ref="F13" r:id="rId3" display="https://www.msdvetmanual.com/poultry/necrotic-enteritis/necrotic-enteritis-in-poultry"/>
    <hyperlink ref="F14" r:id="rId4" display="https://www.merckvetmanual.com/poultry/colibacillosis/colibacillosis-in-poultry"/>
    <hyperlink ref="F15" r:id="rId5" display="https://www.merckvetmanual.com/poultry/salmonelloses/pullorum-disease-and-fowl-typhoid-in-poultry"/>
    <hyperlink ref="F16" r:id="rId6" display="https://www.woah.org/en/disease/newcastle-disease/"/>
    <hyperlink ref="F17" r:id="rId7" display="https://www.merckvetmanual.com/poultry/fowl-cholera/fowl-cholera"/>
    <hyperlink ref="F18" r:id="rId8" display="https://www.merckvetmanual.com/poultry/neoplasms-in-poultry/marek-s-disease-in-poultry"/>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8"/>
  <sheetViews>
    <sheetView topLeftCell="A36" workbookViewId="0">
      <selection activeCell="E56" sqref="E56"/>
    </sheetView>
  </sheetViews>
  <sheetFormatPr defaultRowHeight="15" x14ac:dyDescent="0.25"/>
  <cols>
    <col min="1" max="1" width="13.28515625" customWidth="1"/>
    <col min="2" max="3" width="19.5703125" customWidth="1"/>
    <col min="4" max="4" width="22.85546875" customWidth="1"/>
    <col min="5" max="5" width="13.28515625" customWidth="1"/>
    <col min="6" max="6" width="19.7109375" customWidth="1"/>
  </cols>
  <sheetData>
    <row r="1" spans="1:6" ht="15.75" x14ac:dyDescent="0.25">
      <c r="A1" s="145"/>
      <c r="B1" s="252" t="s">
        <v>655</v>
      </c>
      <c r="C1" s="252"/>
      <c r="D1" s="252"/>
    </row>
    <row r="2" spans="1:6" ht="16.5" thickBot="1" x14ac:dyDescent="0.3">
      <c r="A2" s="141" t="s">
        <v>710</v>
      </c>
      <c r="B2" s="142" t="s">
        <v>656</v>
      </c>
      <c r="C2" s="142" t="s">
        <v>221</v>
      </c>
      <c r="D2" s="142" t="s">
        <v>196</v>
      </c>
      <c r="E2" s="142" t="s">
        <v>213</v>
      </c>
      <c r="F2" s="142" t="s">
        <v>197</v>
      </c>
    </row>
    <row r="3" spans="1:6" ht="15" customHeight="1" x14ac:dyDescent="0.25">
      <c r="A3" s="188" t="s">
        <v>674</v>
      </c>
      <c r="B3" s="191" t="s">
        <v>669</v>
      </c>
      <c r="C3" s="194" t="s">
        <v>658</v>
      </c>
      <c r="D3" s="146" t="s">
        <v>8</v>
      </c>
      <c r="E3" s="147" t="s">
        <v>199</v>
      </c>
      <c r="F3" s="148" t="s">
        <v>686</v>
      </c>
    </row>
    <row r="4" spans="1:6" ht="15" customHeight="1" x14ac:dyDescent="0.25">
      <c r="A4" s="189"/>
      <c r="B4" s="192"/>
      <c r="C4" s="195"/>
      <c r="D4" s="39" t="s">
        <v>9</v>
      </c>
      <c r="E4" s="24" t="s">
        <v>200</v>
      </c>
      <c r="F4" s="149" t="s">
        <v>643</v>
      </c>
    </row>
    <row r="5" spans="1:6" ht="15" customHeight="1" x14ac:dyDescent="0.25">
      <c r="A5" s="189"/>
      <c r="B5" s="192"/>
      <c r="C5" s="195"/>
      <c r="D5" s="39" t="s">
        <v>2</v>
      </c>
      <c r="E5" s="24" t="s">
        <v>679</v>
      </c>
      <c r="F5" s="149" t="s">
        <v>687</v>
      </c>
    </row>
    <row r="6" spans="1:6" ht="15" customHeight="1" x14ac:dyDescent="0.25">
      <c r="A6" s="189"/>
      <c r="B6" s="192"/>
      <c r="C6" s="195"/>
      <c r="D6" s="39" t="s">
        <v>10</v>
      </c>
      <c r="E6" s="24" t="s">
        <v>202</v>
      </c>
      <c r="F6" s="149" t="s">
        <v>688</v>
      </c>
    </row>
    <row r="7" spans="1:6" ht="17.25" customHeight="1" x14ac:dyDescent="0.25">
      <c r="A7" s="189"/>
      <c r="B7" s="192"/>
      <c r="C7" s="195"/>
      <c r="D7" s="39" t="s">
        <v>11</v>
      </c>
      <c r="E7" s="24" t="s">
        <v>212</v>
      </c>
      <c r="F7" s="149" t="s">
        <v>689</v>
      </c>
    </row>
    <row r="8" spans="1:6" ht="17.25" customHeight="1" thickBot="1" x14ac:dyDescent="0.3">
      <c r="A8" s="190"/>
      <c r="B8" s="193"/>
      <c r="C8" s="196"/>
      <c r="D8" s="150" t="s">
        <v>12</v>
      </c>
      <c r="E8" s="151" t="s">
        <v>681</v>
      </c>
      <c r="F8" s="152" t="s">
        <v>690</v>
      </c>
    </row>
    <row r="9" spans="1:6" ht="17.25" customHeight="1" x14ac:dyDescent="0.25">
      <c r="A9" s="188" t="s">
        <v>675</v>
      </c>
      <c r="B9" s="153" t="s">
        <v>657</v>
      </c>
      <c r="C9" s="153" t="s">
        <v>659</v>
      </c>
      <c r="D9" s="146" t="s">
        <v>8</v>
      </c>
      <c r="E9" s="147" t="s">
        <v>250</v>
      </c>
      <c r="F9" s="148" t="s">
        <v>691</v>
      </c>
    </row>
    <row r="10" spans="1:6" ht="17.25" customHeight="1" x14ac:dyDescent="0.25">
      <c r="A10" s="189"/>
      <c r="B10" s="144"/>
      <c r="C10" s="144"/>
      <c r="D10" s="39" t="s">
        <v>9</v>
      </c>
      <c r="E10" s="24" t="s">
        <v>200</v>
      </c>
      <c r="F10" s="149" t="s">
        <v>680</v>
      </c>
    </row>
    <row r="11" spans="1:6" ht="17.25" customHeight="1" x14ac:dyDescent="0.25">
      <c r="A11" s="189"/>
      <c r="B11" s="143" t="s">
        <v>667</v>
      </c>
      <c r="C11" s="143" t="s">
        <v>668</v>
      </c>
      <c r="D11" s="39" t="s">
        <v>2</v>
      </c>
      <c r="E11" s="24" t="s">
        <v>682</v>
      </c>
      <c r="F11" s="149" t="s">
        <v>695</v>
      </c>
    </row>
    <row r="12" spans="1:6" ht="17.25" customHeight="1" x14ac:dyDescent="0.25">
      <c r="A12" s="189"/>
      <c r="B12" s="144"/>
      <c r="C12" s="144"/>
      <c r="D12" s="39" t="s">
        <v>10</v>
      </c>
      <c r="E12" s="24" t="s">
        <v>202</v>
      </c>
      <c r="F12" s="149" t="s">
        <v>694</v>
      </c>
    </row>
    <row r="13" spans="1:6" ht="17.25" customHeight="1" x14ac:dyDescent="0.25">
      <c r="A13" s="189"/>
      <c r="B13" s="156"/>
      <c r="C13" s="157"/>
      <c r="D13" s="39" t="s">
        <v>11</v>
      </c>
      <c r="E13" s="24" t="s">
        <v>212</v>
      </c>
      <c r="F13" s="149" t="s">
        <v>692</v>
      </c>
    </row>
    <row r="14" spans="1:6" ht="17.25" customHeight="1" thickBot="1" x14ac:dyDescent="0.3">
      <c r="A14" s="189"/>
      <c r="B14" s="156"/>
      <c r="C14" s="157"/>
      <c r="D14" s="164" t="s">
        <v>12</v>
      </c>
      <c r="E14" s="165" t="s">
        <v>202</v>
      </c>
      <c r="F14" s="166" t="s">
        <v>693</v>
      </c>
    </row>
    <row r="15" spans="1:6" ht="21.75" customHeight="1" x14ac:dyDescent="0.25">
      <c r="A15" s="197" t="s">
        <v>675</v>
      </c>
      <c r="B15" s="194" t="s">
        <v>663</v>
      </c>
      <c r="C15" s="194" t="s">
        <v>666</v>
      </c>
      <c r="D15" s="146" t="s">
        <v>8</v>
      </c>
      <c r="E15" s="147" t="s">
        <v>250</v>
      </c>
      <c r="F15" s="148" t="s">
        <v>651</v>
      </c>
    </row>
    <row r="16" spans="1:6" ht="18" customHeight="1" x14ac:dyDescent="0.25">
      <c r="A16" s="198"/>
      <c r="B16" s="195"/>
      <c r="C16" s="195"/>
      <c r="D16" s="39" t="s">
        <v>9</v>
      </c>
      <c r="E16" s="24" t="s">
        <v>200</v>
      </c>
      <c r="F16" s="149" t="s">
        <v>684</v>
      </c>
    </row>
    <row r="17" spans="1:6" ht="20.25" customHeight="1" x14ac:dyDescent="0.25">
      <c r="A17" s="198"/>
      <c r="B17" s="195"/>
      <c r="C17" s="195"/>
      <c r="D17" s="39" t="s">
        <v>2</v>
      </c>
      <c r="E17" s="24" t="s">
        <v>683</v>
      </c>
      <c r="F17" s="149" t="s">
        <v>685</v>
      </c>
    </row>
    <row r="18" spans="1:6" ht="17.25" customHeight="1" x14ac:dyDescent="0.25">
      <c r="A18" s="198"/>
      <c r="B18" s="195"/>
      <c r="C18" s="195"/>
      <c r="D18" s="39" t="s">
        <v>10</v>
      </c>
      <c r="E18" s="24" t="s">
        <v>202</v>
      </c>
      <c r="F18" s="149" t="s">
        <v>654</v>
      </c>
    </row>
    <row r="19" spans="1:6" ht="15.75" customHeight="1" x14ac:dyDescent="0.25">
      <c r="A19" s="198"/>
      <c r="B19" s="195"/>
      <c r="C19" s="195"/>
      <c r="D19" s="39" t="s">
        <v>11</v>
      </c>
      <c r="E19" s="24" t="s">
        <v>250</v>
      </c>
      <c r="F19" s="149" t="s">
        <v>696</v>
      </c>
    </row>
    <row r="20" spans="1:6" ht="18" customHeight="1" thickBot="1" x14ac:dyDescent="0.3">
      <c r="A20" s="199"/>
      <c r="B20" s="196"/>
      <c r="C20" s="196"/>
      <c r="D20" s="150" t="s">
        <v>12</v>
      </c>
      <c r="E20" s="151" t="s">
        <v>202</v>
      </c>
      <c r="F20" s="152" t="s">
        <v>697</v>
      </c>
    </row>
    <row r="21" spans="1:6" ht="15.75" customHeight="1" x14ac:dyDescent="0.25">
      <c r="A21" s="251" t="s">
        <v>676</v>
      </c>
      <c r="B21" s="192" t="s">
        <v>670</v>
      </c>
      <c r="C21" s="195" t="s">
        <v>660</v>
      </c>
      <c r="D21" s="146" t="s">
        <v>8</v>
      </c>
      <c r="E21" s="147" t="s">
        <v>250</v>
      </c>
      <c r="F21" s="149" t="s">
        <v>698</v>
      </c>
    </row>
    <row r="22" spans="1:6" ht="15.75" customHeight="1" x14ac:dyDescent="0.25">
      <c r="A22" s="198"/>
      <c r="B22" s="192"/>
      <c r="C22" s="195"/>
      <c r="D22" s="39" t="s">
        <v>9</v>
      </c>
      <c r="E22" s="24" t="s">
        <v>200</v>
      </c>
      <c r="F22" s="149" t="s">
        <v>699</v>
      </c>
    </row>
    <row r="23" spans="1:6" ht="15.75" customHeight="1" x14ac:dyDescent="0.25">
      <c r="A23" s="198"/>
      <c r="B23" s="192"/>
      <c r="C23" s="195"/>
      <c r="D23" s="39" t="s">
        <v>2</v>
      </c>
      <c r="E23" s="24" t="s">
        <v>683</v>
      </c>
      <c r="F23" s="149" t="s">
        <v>700</v>
      </c>
    </row>
    <row r="24" spans="1:6" ht="17.25" customHeight="1" x14ac:dyDescent="0.25">
      <c r="A24" s="198"/>
      <c r="B24" s="192"/>
      <c r="C24" s="195"/>
      <c r="D24" s="39" t="s">
        <v>10</v>
      </c>
      <c r="E24" s="24" t="s">
        <v>202</v>
      </c>
      <c r="F24" s="149" t="s">
        <v>701</v>
      </c>
    </row>
    <row r="25" spans="1:6" x14ac:dyDescent="0.25">
      <c r="A25" s="198"/>
      <c r="B25" s="192"/>
      <c r="C25" s="195"/>
      <c r="D25" s="39" t="s">
        <v>11</v>
      </c>
      <c r="E25" s="24" t="s">
        <v>250</v>
      </c>
      <c r="F25" s="149" t="s">
        <v>702</v>
      </c>
    </row>
    <row r="26" spans="1:6" ht="15.75" thickBot="1" x14ac:dyDescent="0.3">
      <c r="A26" s="199"/>
      <c r="B26" s="193"/>
      <c r="C26" s="196"/>
      <c r="D26" s="150" t="s">
        <v>12</v>
      </c>
      <c r="E26" s="151" t="s">
        <v>202</v>
      </c>
      <c r="F26" s="149" t="s">
        <v>703</v>
      </c>
    </row>
    <row r="27" spans="1:6" ht="18" customHeight="1" x14ac:dyDescent="0.25">
      <c r="A27" s="188" t="s">
        <v>677</v>
      </c>
      <c r="B27" s="194" t="s">
        <v>671</v>
      </c>
      <c r="C27" s="194" t="s">
        <v>661</v>
      </c>
      <c r="D27" s="146" t="s">
        <v>8</v>
      </c>
      <c r="E27" s="147" t="s">
        <v>199</v>
      </c>
      <c r="F27" s="149" t="s">
        <v>704</v>
      </c>
    </row>
    <row r="28" spans="1:6" ht="15.75" customHeight="1" x14ac:dyDescent="0.25">
      <c r="A28" s="189"/>
      <c r="B28" s="195"/>
      <c r="C28" s="195"/>
      <c r="D28" s="39" t="s">
        <v>9</v>
      </c>
      <c r="E28" s="24" t="s">
        <v>708</v>
      </c>
      <c r="F28" s="149" t="s">
        <v>700</v>
      </c>
    </row>
    <row r="29" spans="1:6" ht="15.75" customHeight="1" x14ac:dyDescent="0.25">
      <c r="A29" s="189"/>
      <c r="B29" s="208"/>
      <c r="C29" s="208"/>
      <c r="D29" s="39" t="s">
        <v>2</v>
      </c>
      <c r="E29" s="24" t="s">
        <v>201</v>
      </c>
      <c r="F29" s="149" t="s">
        <v>701</v>
      </c>
    </row>
    <row r="30" spans="1:6" ht="18.75" customHeight="1" x14ac:dyDescent="0.25">
      <c r="A30" s="189"/>
      <c r="B30" s="209" t="s">
        <v>672</v>
      </c>
      <c r="C30" s="209" t="s">
        <v>661</v>
      </c>
      <c r="D30" s="39" t="s">
        <v>10</v>
      </c>
      <c r="E30" s="24" t="s">
        <v>202</v>
      </c>
      <c r="F30" s="149" t="s">
        <v>705</v>
      </c>
    </row>
    <row r="31" spans="1:6" ht="15.75" customHeight="1" x14ac:dyDescent="0.25">
      <c r="A31" s="189"/>
      <c r="B31" s="195"/>
      <c r="C31" s="195"/>
      <c r="D31" s="39" t="s">
        <v>11</v>
      </c>
      <c r="E31" s="24" t="s">
        <v>203</v>
      </c>
      <c r="F31" s="149" t="s">
        <v>706</v>
      </c>
    </row>
    <row r="32" spans="1:6" ht="16.5" customHeight="1" thickBot="1" x14ac:dyDescent="0.3">
      <c r="A32" s="190"/>
      <c r="B32" s="196"/>
      <c r="C32" s="196"/>
      <c r="D32" s="150" t="s">
        <v>12</v>
      </c>
      <c r="E32" s="151" t="s">
        <v>202</v>
      </c>
      <c r="F32" s="149" t="s">
        <v>707</v>
      </c>
    </row>
    <row r="33" spans="1:6" ht="15" customHeight="1" x14ac:dyDescent="0.25">
      <c r="A33" s="197" t="s">
        <v>678</v>
      </c>
      <c r="B33" s="154" t="s">
        <v>673</v>
      </c>
      <c r="C33" s="154" t="s">
        <v>662</v>
      </c>
      <c r="D33" s="146" t="s">
        <v>8</v>
      </c>
      <c r="E33" s="147" t="s">
        <v>199</v>
      </c>
      <c r="F33" s="149" t="s">
        <v>704</v>
      </c>
    </row>
    <row r="34" spans="1:6" ht="15" customHeight="1" x14ac:dyDescent="0.25">
      <c r="A34" s="198"/>
      <c r="B34" s="140" t="s">
        <v>664</v>
      </c>
      <c r="C34" s="140" t="s">
        <v>665</v>
      </c>
      <c r="D34" s="39" t="s">
        <v>9</v>
      </c>
      <c r="E34" s="24" t="s">
        <v>200</v>
      </c>
      <c r="F34" s="149" t="s">
        <v>700</v>
      </c>
    </row>
    <row r="35" spans="1:6" ht="15" customHeight="1" x14ac:dyDescent="0.25">
      <c r="A35" s="198"/>
      <c r="B35" s="140" t="s">
        <v>671</v>
      </c>
      <c r="C35" s="140" t="s">
        <v>661</v>
      </c>
      <c r="D35" s="39" t="s">
        <v>2</v>
      </c>
      <c r="E35" s="24" t="s">
        <v>201</v>
      </c>
      <c r="F35" s="149" t="s">
        <v>701</v>
      </c>
    </row>
    <row r="36" spans="1:6" ht="15" customHeight="1" x14ac:dyDescent="0.25">
      <c r="A36" s="198"/>
      <c r="B36" s="140" t="s">
        <v>672</v>
      </c>
      <c r="C36" s="140" t="s">
        <v>661</v>
      </c>
      <c r="D36" s="39" t="s">
        <v>10</v>
      </c>
      <c r="E36" s="24" t="s">
        <v>202</v>
      </c>
      <c r="F36" s="149" t="s">
        <v>703</v>
      </c>
    </row>
    <row r="37" spans="1:6" ht="15" customHeight="1" x14ac:dyDescent="0.25">
      <c r="A37" s="198"/>
      <c r="B37" s="110"/>
      <c r="C37" s="110"/>
      <c r="D37" s="39" t="s">
        <v>11</v>
      </c>
      <c r="E37" s="24" t="s">
        <v>203</v>
      </c>
      <c r="F37" s="149" t="s">
        <v>706</v>
      </c>
    </row>
    <row r="38" spans="1:6" ht="15" customHeight="1" thickBot="1" x14ac:dyDescent="0.3">
      <c r="A38" s="199"/>
      <c r="B38" s="155"/>
      <c r="C38" s="155"/>
      <c r="D38" s="150" t="s">
        <v>12</v>
      </c>
      <c r="E38" s="151" t="s">
        <v>202</v>
      </c>
      <c r="F38" s="149" t="s">
        <v>709</v>
      </c>
    </row>
  </sheetData>
  <mergeCells count="17">
    <mergeCell ref="B1:D1"/>
    <mergeCell ref="B3:B8"/>
    <mergeCell ref="C3:C8"/>
    <mergeCell ref="A3:A8"/>
    <mergeCell ref="A15:A20"/>
    <mergeCell ref="A9:A14"/>
    <mergeCell ref="B15:B20"/>
    <mergeCell ref="C15:C20"/>
    <mergeCell ref="A33:A38"/>
    <mergeCell ref="B21:B26"/>
    <mergeCell ref="C21:C26"/>
    <mergeCell ref="A27:A32"/>
    <mergeCell ref="B27:B29"/>
    <mergeCell ref="C27:C29"/>
    <mergeCell ref="B30:B32"/>
    <mergeCell ref="C30:C32"/>
    <mergeCell ref="A21:A26"/>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Cây lúa</vt:lpstr>
      <vt:lpstr>Bắp cải</vt:lpstr>
      <vt:lpstr>Súp lơ</vt:lpstr>
      <vt:lpstr>Dưa chuột</vt:lpstr>
      <vt:lpstr>Bí xanh</vt:lpstr>
      <vt:lpstr>Lợn</vt:lpstr>
      <vt:lpstr>Gà</vt:lpstr>
      <vt:lpstr>vụ lúa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Bon Bon</dc:creator>
  <cp:lastModifiedBy>Duong Yen</cp:lastModifiedBy>
  <dcterms:created xsi:type="dcterms:W3CDTF">2015-06-05T18:17:20Z</dcterms:created>
  <dcterms:modified xsi:type="dcterms:W3CDTF">2026-06-19T08:57:00Z</dcterms:modified>
</cp:coreProperties>
</file>